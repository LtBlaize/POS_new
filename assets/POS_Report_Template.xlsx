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ales Report" sheetId="1" state="visible" r:id="rId1"/>
    <sheet xmlns:r="http://schemas.openxmlformats.org/officeDocument/2006/relationships" name="📦 Inventory" sheetId="2" state="visible" r:id="rId2"/>
    <sheet xmlns:r="http://schemas.openxmlformats.org/officeDocument/2006/relationships" name="💸 Expenses" sheetId="3" state="visible" r:id="rId3"/>
    <sheet xmlns:r="http://schemas.openxmlformats.org/officeDocument/2006/relationships" name="👥 Payroll" sheetId="4" state="visible" r:id="rId4"/>
    <sheet xmlns:r="http://schemas.openxmlformats.org/officeDocument/2006/relationships" name="🏆 Performance" sheetId="5" state="visible" r:id="rId5"/>
    <sheet xmlns:r="http://schemas.openxmlformats.org/officeDocument/2006/relationships" name="🚚 Suppliers" sheetId="6" state="visible" r:id="rId6"/>
    <sheet xmlns:r="http://schemas.openxmlformats.org/officeDocument/2006/relationships" name="💰 Cash Flow" sheetId="7" state="visible" r:id="rId7"/>
    <sheet xmlns:r="http://schemas.openxmlformats.org/officeDocument/2006/relationships" name="⚙ Sett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i val="1"/>
      <color rgb="007F7F7F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bottom style="thin">
        <color rgb="002E75B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0" pivotButton="0" quotePrefix="0" xfId="0"/>
    <xf numFmtId="164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9" customWidth="1" min="5" max="5"/>
    <col width="11" customWidth="1" min="6" max="6"/>
    <col width="12" customWidth="1" min="7" max="7"/>
    <col width="9" customWidth="1" min="8" max="8"/>
    <col width="13" customWidth="1" min="9" max="9"/>
    <col width="14" customWidth="1" min="10" max="10"/>
    <col width="14" customWidth="1" min="11" max="11"/>
    <col width="16" customWidth="1" min="12" max="12"/>
    <col width="12" customWidth="1" min="13" max="13"/>
    <col width="12" customWidth="1" min="14" max="14"/>
  </cols>
  <sheetData>
    <row r="1" ht="30" customHeight="1">
      <c r="A1" s="1" t="inlineStr">
        <is>
          <t>📊  DAILY SALES REPORT</t>
        </is>
      </c>
    </row>
    <row r="2" ht="8" customHeight="1"/>
    <row r="3" ht="8" customHeight="1"/>
    <row r="4" ht="22" customHeight="1">
      <c r="A4" s="2" t="inlineStr">
        <is>
          <t>Date</t>
        </is>
      </c>
      <c r="B4" s="2" t="inlineStr">
        <is>
          <t>Invoice #</t>
        </is>
      </c>
      <c r="C4" s="2" t="inlineStr">
        <is>
          <t>Product Name</t>
        </is>
      </c>
      <c r="D4" s="2" t="inlineStr">
        <is>
          <t>Category</t>
        </is>
      </c>
      <c r="E4" s="2" t="inlineStr">
        <is>
          <t>Qty Sold</t>
        </is>
      </c>
      <c r="F4" s="2" t="inlineStr">
        <is>
          <t>Unit Price</t>
        </is>
      </c>
      <c r="G4" s="2" t="inlineStr">
        <is>
          <t>Discount (%)</t>
        </is>
      </c>
      <c r="H4" s="2" t="inlineStr">
        <is>
          <t>Tax (%)</t>
        </is>
      </c>
      <c r="I4" s="2" t="inlineStr">
        <is>
          <t>Total Amount</t>
        </is>
      </c>
      <c r="J4" s="2" t="inlineStr">
        <is>
          <t>Payment Method</t>
        </is>
      </c>
      <c r="K4" s="2" t="inlineStr">
        <is>
          <t>Cashier</t>
        </is>
      </c>
      <c r="L4" s="2" t="inlineStr">
        <is>
          <t>Customer Name</t>
        </is>
      </c>
      <c r="M4" s="2" t="inlineStr">
        <is>
          <t>Profit/Item</t>
        </is>
      </c>
      <c r="N4" s="2" t="inlineStr">
        <is>
          <t>Total Profit</t>
        </is>
      </c>
    </row>
    <row r="5" ht="18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>
        <f>E5*F5*(1-G5/100)*(1+H5/100)</f>
        <v/>
      </c>
      <c r="J5" s="3" t="n"/>
      <c r="K5" s="3" t="n"/>
      <c r="L5" s="3" t="n"/>
      <c r="M5" s="3">
        <f>F5*(1-G5/100)-2.8</f>
        <v/>
      </c>
      <c r="N5" s="3">
        <f>M5*E5</f>
        <v/>
      </c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>
        <f>E6*F6*(1-G6/100)*(1+H6/100)</f>
        <v/>
      </c>
      <c r="J6" s="4" t="n"/>
      <c r="K6" s="4" t="n"/>
      <c r="L6" s="4" t="n"/>
      <c r="M6" s="4">
        <f>F6*(1-G6/100)-2.8</f>
        <v/>
      </c>
      <c r="N6" s="4">
        <f>M6*E6</f>
        <v/>
      </c>
    </row>
    <row r="7" ht="18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>
        <f>E7*F7*(1-G7/100)*(1+H7/100)</f>
        <v/>
      </c>
      <c r="J7" s="3" t="n"/>
      <c r="K7" s="3" t="n"/>
      <c r="L7" s="3" t="n"/>
      <c r="M7" s="3">
        <f>F7*(1-G7/100)-2.8</f>
        <v/>
      </c>
      <c r="N7" s="3">
        <f>M7*E7</f>
        <v/>
      </c>
    </row>
    <row r="8" ht="18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>
        <f>E8*F8*(1-G8/100)*(1+H8/100)</f>
        <v/>
      </c>
      <c r="J8" s="4" t="n"/>
      <c r="K8" s="4" t="n"/>
      <c r="L8" s="4" t="n"/>
      <c r="M8" s="4">
        <f>F8*(1-G8/100)-2.8</f>
        <v/>
      </c>
      <c r="N8" s="4">
        <f>M8*E8</f>
        <v/>
      </c>
    </row>
    <row r="9" ht="18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>
        <f>E9*F9*(1-G9/100)*(1+H9/100)</f>
        <v/>
      </c>
      <c r="J9" s="3" t="n"/>
      <c r="K9" s="3" t="n"/>
      <c r="L9" s="3" t="n"/>
      <c r="M9" s="3">
        <f>F9*(1-G9/100)-2.8</f>
        <v/>
      </c>
      <c r="N9" s="3">
        <f>M9*E9</f>
        <v/>
      </c>
    </row>
    <row r="10" ht="18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>
        <f>E10*F10*(1-G10/100)*(1+H10/100)</f>
        <v/>
      </c>
      <c r="J10" s="4" t="n"/>
      <c r="K10" s="4" t="n"/>
      <c r="L10" s="4" t="n"/>
      <c r="M10" s="4">
        <f>F10*(1-G10/100)-2.8</f>
        <v/>
      </c>
      <c r="N10" s="4">
        <f>M10*E10</f>
        <v/>
      </c>
    </row>
    <row r="11" ht="18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>
        <f>E11*F11*(1-G11/100)*(1+H11/100)</f>
        <v/>
      </c>
      <c r="J11" s="3" t="n"/>
      <c r="K11" s="3" t="n"/>
      <c r="L11" s="3" t="n"/>
      <c r="M11" s="3">
        <f>F11*(1-G11/100)-2.8</f>
        <v/>
      </c>
      <c r="N11" s="3">
        <f>M11*E11</f>
        <v/>
      </c>
    </row>
    <row r="12" ht="18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>
        <f>E12*F12*(1-G12/100)*(1+H12/100)</f>
        <v/>
      </c>
      <c r="J12" s="4" t="n"/>
      <c r="K12" s="4" t="n"/>
      <c r="L12" s="4" t="n"/>
      <c r="M12" s="4">
        <f>F12*(1-G12/100)-2.8</f>
        <v/>
      </c>
      <c r="N12" s="4">
        <f>M12*E12</f>
        <v/>
      </c>
    </row>
    <row r="13" ht="18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>
        <f>E13*F13*(1-G13/100)*(1+H13/100)</f>
        <v/>
      </c>
      <c r="J13" s="3" t="n"/>
      <c r="K13" s="3" t="n"/>
      <c r="L13" s="3" t="n"/>
      <c r="M13" s="3">
        <f>F13*(1-G13/100)-2.8</f>
        <v/>
      </c>
      <c r="N13" s="3">
        <f>M13*E13</f>
        <v/>
      </c>
    </row>
    <row r="14" ht="18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>
        <f>E14*F14*(1-G14/100)*(1+H14/100)</f>
        <v/>
      </c>
      <c r="J14" s="4" t="n"/>
      <c r="K14" s="4" t="n"/>
      <c r="L14" s="4" t="n"/>
      <c r="M14" s="4">
        <f>F14*(1-G14/100)-2.8</f>
        <v/>
      </c>
      <c r="N14" s="4">
        <f>M14*E14</f>
        <v/>
      </c>
    </row>
    <row r="15" ht="18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>
        <f>E15*F15*(1-G15/100)*(1+H15/100)</f>
        <v/>
      </c>
      <c r="J15" s="3" t="n"/>
      <c r="K15" s="3" t="n"/>
      <c r="L15" s="3" t="n"/>
      <c r="M15" s="3">
        <f>F15*(1-G15/100)-2.8</f>
        <v/>
      </c>
      <c r="N15" s="3">
        <f>M15*E15</f>
        <v/>
      </c>
    </row>
    <row r="16" ht="18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>
        <f>E16*F16*(1-G16/100)*(1+H16/100)</f>
        <v/>
      </c>
      <c r="J16" s="4" t="n"/>
      <c r="K16" s="4" t="n"/>
      <c r="L16" s="4" t="n"/>
      <c r="M16" s="4">
        <f>F16*(1-G16/100)-2.8</f>
        <v/>
      </c>
      <c r="N16" s="4">
        <f>M16*E16</f>
        <v/>
      </c>
    </row>
    <row r="17" ht="18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>
        <f>E17*F17*(1-G17/100)*(1+H17/100)</f>
        <v/>
      </c>
      <c r="J17" s="3" t="n"/>
      <c r="K17" s="3" t="n"/>
      <c r="L17" s="3" t="n"/>
      <c r="M17" s="3">
        <f>F17*(1-G17/100)-2.8</f>
        <v/>
      </c>
      <c r="N17" s="3">
        <f>M17*E17</f>
        <v/>
      </c>
    </row>
    <row r="18" ht="18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>
        <f>E18*F18*(1-G18/100)*(1+H18/100)</f>
        <v/>
      </c>
      <c r="J18" s="4" t="n"/>
      <c r="K18" s="4" t="n"/>
      <c r="L18" s="4" t="n"/>
      <c r="M18" s="4">
        <f>F18*(1-G18/100)-2.8</f>
        <v/>
      </c>
      <c r="N18" s="4">
        <f>M18*E18</f>
        <v/>
      </c>
    </row>
    <row r="19" ht="18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>
        <f>E19*F19*(1-G19/100)*(1+H19/100)</f>
        <v/>
      </c>
      <c r="J19" s="3" t="n"/>
      <c r="K19" s="3" t="n"/>
      <c r="L19" s="3" t="n"/>
      <c r="M19" s="3">
        <f>F19*(1-G19/100)-2.8</f>
        <v/>
      </c>
      <c r="N19" s="3">
        <f>M19*E19</f>
        <v/>
      </c>
    </row>
    <row r="20" ht="18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>
        <f>E20*F20*(1-G20/100)*(1+H20/100)</f>
        <v/>
      </c>
      <c r="J20" s="4" t="n"/>
      <c r="K20" s="4" t="n"/>
      <c r="L20" s="4" t="n"/>
      <c r="M20" s="4">
        <f>F20*(1-G20/100)-2.8</f>
        <v/>
      </c>
      <c r="N20" s="4">
        <f>M20*E20</f>
        <v/>
      </c>
    </row>
    <row r="21" ht="18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>
        <f>E21*F21*(1-G21/100)*(1+H21/100)</f>
        <v/>
      </c>
      <c r="J21" s="3" t="n"/>
      <c r="K21" s="3" t="n"/>
      <c r="L21" s="3" t="n"/>
      <c r="M21" s="3">
        <f>F21*(1-G21/100)-2.8</f>
        <v/>
      </c>
      <c r="N21" s="3">
        <f>M21*E21</f>
        <v/>
      </c>
    </row>
    <row r="22" ht="18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>
        <f>E22*F22*(1-G22/100)*(1+H22/100)</f>
        <v/>
      </c>
      <c r="J22" s="4" t="n"/>
      <c r="K22" s="4" t="n"/>
      <c r="L22" s="4" t="n"/>
      <c r="M22" s="4">
        <f>F22*(1-G22/100)-2.8</f>
        <v/>
      </c>
      <c r="N22" s="4">
        <f>M22*E22</f>
        <v/>
      </c>
    </row>
    <row r="23" ht="18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>
        <f>E23*F23*(1-G23/100)*(1+H23/100)</f>
        <v/>
      </c>
      <c r="J23" s="3" t="n"/>
      <c r="K23" s="3" t="n"/>
      <c r="L23" s="3" t="n"/>
      <c r="M23" s="3">
        <f>F23*(1-G23/100)-2.8</f>
        <v/>
      </c>
      <c r="N23" s="3">
        <f>M23*E23</f>
        <v/>
      </c>
    </row>
    <row r="24" ht="18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>
        <f>E24*F24*(1-G24/100)*(1+H24/100)</f>
        <v/>
      </c>
      <c r="J24" s="4" t="n"/>
      <c r="K24" s="4" t="n"/>
      <c r="L24" s="4" t="n"/>
      <c r="M24" s="4">
        <f>F24*(1-G24/100)-2.8</f>
        <v/>
      </c>
      <c r="N24" s="4">
        <f>M24*E24</f>
        <v/>
      </c>
    </row>
    <row r="25" ht="18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>
        <f>E25*F25*(1-G25/100)*(1+H25/100)</f>
        <v/>
      </c>
      <c r="J25" s="3" t="n"/>
      <c r="K25" s="3" t="n"/>
      <c r="L25" s="3" t="n"/>
      <c r="M25" s="3">
        <f>F25*(1-G25/100)-2.8</f>
        <v/>
      </c>
      <c r="N25" s="3">
        <f>M25*E25</f>
        <v/>
      </c>
    </row>
    <row r="26" ht="18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>
        <f>E26*F26*(1-G26/100)*(1+H26/100)</f>
        <v/>
      </c>
      <c r="J26" s="4" t="n"/>
      <c r="K26" s="4" t="n"/>
      <c r="L26" s="4" t="n"/>
      <c r="M26" s="4">
        <f>F26*(1-G26/100)-2.8</f>
        <v/>
      </c>
      <c r="N26" s="4">
        <f>M26*E26</f>
        <v/>
      </c>
    </row>
    <row r="27" ht="18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>
        <f>E27*F27*(1-G27/100)*(1+H27/100)</f>
        <v/>
      </c>
      <c r="J27" s="3" t="n"/>
      <c r="K27" s="3" t="n"/>
      <c r="L27" s="3" t="n"/>
      <c r="M27" s="3">
        <f>F27*(1-G27/100)-2.8</f>
        <v/>
      </c>
      <c r="N27" s="3">
        <f>M27*E27</f>
        <v/>
      </c>
    </row>
    <row r="28" ht="18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>
        <f>E28*F28*(1-G28/100)*(1+H28/100)</f>
        <v/>
      </c>
      <c r="J28" s="4" t="n"/>
      <c r="K28" s="4" t="n"/>
      <c r="L28" s="4" t="n"/>
      <c r="M28" s="4">
        <f>F28*(1-G28/100)-2.8</f>
        <v/>
      </c>
      <c r="N28" s="4">
        <f>M28*E28</f>
        <v/>
      </c>
    </row>
    <row r="29" ht="18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>
        <f>E29*F29*(1-G29/100)*(1+H29/100)</f>
        <v/>
      </c>
      <c r="J29" s="3" t="n"/>
      <c r="K29" s="3" t="n"/>
      <c r="L29" s="3" t="n"/>
      <c r="M29" s="3">
        <f>F29*(1-G29/100)-2.8</f>
        <v/>
      </c>
      <c r="N29" s="3">
        <f>M29*E29</f>
        <v/>
      </c>
    </row>
    <row r="30" ht="18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>
        <f>E30*F30*(1-G30/100)*(1+H30/100)</f>
        <v/>
      </c>
      <c r="J30" s="4" t="n"/>
      <c r="K30" s="4" t="n"/>
      <c r="L30" s="4" t="n"/>
      <c r="M30" s="4">
        <f>F30*(1-G30/100)-2.8</f>
        <v/>
      </c>
      <c r="N30" s="4">
        <f>M30*E30</f>
        <v/>
      </c>
    </row>
    <row r="31" ht="18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>
        <f>E31*F31*(1-G31/100)*(1+H31/100)</f>
        <v/>
      </c>
      <c r="J31" s="3" t="n"/>
      <c r="K31" s="3" t="n"/>
      <c r="L31" s="3" t="n"/>
      <c r="M31" s="3">
        <f>F31*(1-G31/100)-2.8</f>
        <v/>
      </c>
      <c r="N31" s="3">
        <f>M31*E31</f>
        <v/>
      </c>
    </row>
    <row r="32" ht="18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>
        <f>E32*F32*(1-G32/100)*(1+H32/100)</f>
        <v/>
      </c>
      <c r="J32" s="4" t="n"/>
      <c r="K32" s="4" t="n"/>
      <c r="L32" s="4" t="n"/>
      <c r="M32" s="4">
        <f>F32*(1-G32/100)-2.8</f>
        <v/>
      </c>
      <c r="N32" s="4">
        <f>M32*E32</f>
        <v/>
      </c>
    </row>
    <row r="33" ht="18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>
        <f>E33*F33*(1-G33/100)*(1+H33/100)</f>
        <v/>
      </c>
      <c r="J33" s="3" t="n"/>
      <c r="K33" s="3" t="n"/>
      <c r="L33" s="3" t="n"/>
      <c r="M33" s="3">
        <f>F33*(1-G33/100)-2.8</f>
        <v/>
      </c>
      <c r="N33" s="3">
        <f>M33*E33</f>
        <v/>
      </c>
    </row>
    <row r="34" ht="18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>
        <f>E34*F34*(1-G34/100)*(1+H34/100)</f>
        <v/>
      </c>
      <c r="J34" s="4" t="n"/>
      <c r="K34" s="4" t="n"/>
      <c r="L34" s="4" t="n"/>
      <c r="M34" s="4">
        <f>F34*(1-G34/100)-2.8</f>
        <v/>
      </c>
      <c r="N34" s="4">
        <f>M34*E34</f>
        <v/>
      </c>
    </row>
    <row r="35" ht="18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>
        <f>E35*F35*(1-G35/100)*(1+H35/100)</f>
        <v/>
      </c>
      <c r="J35" s="3" t="n"/>
      <c r="K35" s="3" t="n"/>
      <c r="L35" s="3" t="n"/>
      <c r="M35" s="3">
        <f>F35*(1-G35/100)-2.8</f>
        <v/>
      </c>
      <c r="N35" s="3">
        <f>M35*E35</f>
        <v/>
      </c>
    </row>
    <row r="36" ht="18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>
        <f>E36*F36*(1-G36/100)*(1+H36/100)</f>
        <v/>
      </c>
      <c r="J36" s="4" t="n"/>
      <c r="K36" s="4" t="n"/>
      <c r="L36" s="4" t="n"/>
      <c r="M36" s="4">
        <f>F36*(1-G36/100)-2.8</f>
        <v/>
      </c>
      <c r="N36" s="4">
        <f>M36*E36</f>
        <v/>
      </c>
    </row>
    <row r="37" ht="18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>
        <f>E37*F37*(1-G37/100)*(1+H37/100)</f>
        <v/>
      </c>
      <c r="J37" s="3" t="n"/>
      <c r="K37" s="3" t="n"/>
      <c r="L37" s="3" t="n"/>
      <c r="M37" s="3">
        <f>F37*(1-G37/100)-2.8</f>
        <v/>
      </c>
      <c r="N37" s="3">
        <f>M37*E37</f>
        <v/>
      </c>
    </row>
    <row r="38" ht="18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>
        <f>E38*F38*(1-G38/100)*(1+H38/100)</f>
        <v/>
      </c>
      <c r="J38" s="4" t="n"/>
      <c r="K38" s="4" t="n"/>
      <c r="L38" s="4" t="n"/>
      <c r="M38" s="4">
        <f>F38*(1-G38/100)-2.8</f>
        <v/>
      </c>
      <c r="N38" s="4">
        <f>M38*E38</f>
        <v/>
      </c>
    </row>
    <row r="39" ht="18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>
        <f>E39*F39*(1-G39/100)*(1+H39/100)</f>
        <v/>
      </c>
      <c r="J39" s="3" t="n"/>
      <c r="K39" s="3" t="n"/>
      <c r="L39" s="3" t="n"/>
      <c r="M39" s="3">
        <f>F39*(1-G39/100)-2.8</f>
        <v/>
      </c>
      <c r="N39" s="3">
        <f>M39*E39</f>
        <v/>
      </c>
    </row>
    <row r="40" ht="18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>
        <f>E40*F40*(1-G40/100)*(1+H40/100)</f>
        <v/>
      </c>
      <c r="J40" s="4" t="n"/>
      <c r="K40" s="4" t="n"/>
      <c r="L40" s="4" t="n"/>
      <c r="M40" s="4">
        <f>F40*(1-G40/100)-2.8</f>
        <v/>
      </c>
      <c r="N40" s="4">
        <f>M40*E40</f>
        <v/>
      </c>
    </row>
    <row r="41" ht="18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>
        <f>E41*F41*(1-G41/100)*(1+H41/100)</f>
        <v/>
      </c>
      <c r="J41" s="3" t="n"/>
      <c r="K41" s="3" t="n"/>
      <c r="L41" s="3" t="n"/>
      <c r="M41" s="3">
        <f>F41*(1-G41/100)-2.8</f>
        <v/>
      </c>
      <c r="N41" s="3">
        <f>M41*E41</f>
        <v/>
      </c>
    </row>
    <row r="42" ht="18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>
        <f>E42*F42*(1-G42/100)*(1+H42/100)</f>
        <v/>
      </c>
      <c r="J42" s="4" t="n"/>
      <c r="K42" s="4" t="n"/>
      <c r="L42" s="4" t="n"/>
      <c r="M42" s="4">
        <f>F42*(1-G42/100)-2.8</f>
        <v/>
      </c>
      <c r="N42" s="4">
        <f>M42*E42</f>
        <v/>
      </c>
    </row>
    <row r="43" ht="18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>
        <f>E43*F43*(1-G43/100)*(1+H43/100)</f>
        <v/>
      </c>
      <c r="J43" s="3" t="n"/>
      <c r="K43" s="3" t="n"/>
      <c r="L43" s="3" t="n"/>
      <c r="M43" s="3">
        <f>F43*(1-G43/100)-2.8</f>
        <v/>
      </c>
      <c r="N43" s="3">
        <f>M43*E43</f>
        <v/>
      </c>
    </row>
    <row r="44" ht="18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>
        <f>E44*F44*(1-G44/100)*(1+H44/100)</f>
        <v/>
      </c>
      <c r="J44" s="4" t="n"/>
      <c r="K44" s="4" t="n"/>
      <c r="L44" s="4" t="n"/>
      <c r="M44" s="4">
        <f>F44*(1-G44/100)-2.8</f>
        <v/>
      </c>
      <c r="N44" s="4">
        <f>M44*E44</f>
        <v/>
      </c>
    </row>
    <row r="45" ht="18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>
        <f>E45*F45*(1-G45/100)*(1+H45/100)</f>
        <v/>
      </c>
      <c r="J45" s="3" t="n"/>
      <c r="K45" s="3" t="n"/>
      <c r="L45" s="3" t="n"/>
      <c r="M45" s="3">
        <f>F45*(1-G45/100)-2.8</f>
        <v/>
      </c>
      <c r="N45" s="3">
        <f>M45*E45</f>
        <v/>
      </c>
    </row>
    <row r="46" ht="18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>
        <f>E46*F46*(1-G46/100)*(1+H46/100)</f>
        <v/>
      </c>
      <c r="J46" s="4" t="n"/>
      <c r="K46" s="4" t="n"/>
      <c r="L46" s="4" t="n"/>
      <c r="M46" s="4">
        <f>F46*(1-G46/100)-2.8</f>
        <v/>
      </c>
      <c r="N46" s="4">
        <f>M46*E46</f>
        <v/>
      </c>
    </row>
    <row r="47" ht="18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>
        <f>E47*F47*(1-G47/100)*(1+H47/100)</f>
        <v/>
      </c>
      <c r="J47" s="3" t="n"/>
      <c r="K47" s="3" t="n"/>
      <c r="L47" s="3" t="n"/>
      <c r="M47" s="3">
        <f>F47*(1-G47/100)-2.8</f>
        <v/>
      </c>
      <c r="N47" s="3">
        <f>M47*E47</f>
        <v/>
      </c>
    </row>
    <row r="48" ht="18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>
        <f>E48*F48*(1-G48/100)*(1+H48/100)</f>
        <v/>
      </c>
      <c r="J48" s="4" t="n"/>
      <c r="K48" s="4" t="n"/>
      <c r="L48" s="4" t="n"/>
      <c r="M48" s="4">
        <f>F48*(1-G48/100)-2.8</f>
        <v/>
      </c>
      <c r="N48" s="4">
        <f>M48*E48</f>
        <v/>
      </c>
    </row>
    <row r="49" ht="18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>
        <f>E49*F49*(1-G49/100)*(1+H49/100)</f>
        <v/>
      </c>
      <c r="J49" s="3" t="n"/>
      <c r="K49" s="3" t="n"/>
      <c r="L49" s="3" t="n"/>
      <c r="M49" s="3">
        <f>F49*(1-G49/100)-2.8</f>
        <v/>
      </c>
      <c r="N49" s="3">
        <f>M49*E49</f>
        <v/>
      </c>
    </row>
    <row r="50" ht="18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>
        <f>E50*F50*(1-G50/100)*(1+H50/100)</f>
        <v/>
      </c>
      <c r="J50" s="4" t="n"/>
      <c r="K50" s="4" t="n"/>
      <c r="L50" s="4" t="n"/>
      <c r="M50" s="4">
        <f>F50*(1-G50/100)-2.8</f>
        <v/>
      </c>
      <c r="N50" s="4">
        <f>M50*E50</f>
        <v/>
      </c>
    </row>
    <row r="51" ht="18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>
        <f>E51*F51*(1-G51/100)*(1+H51/100)</f>
        <v/>
      </c>
      <c r="J51" s="3" t="n"/>
      <c r="K51" s="3" t="n"/>
      <c r="L51" s="3" t="n"/>
      <c r="M51" s="3">
        <f>F51*(1-G51/100)-2.8</f>
        <v/>
      </c>
      <c r="N51" s="3">
        <f>M51*E51</f>
        <v/>
      </c>
    </row>
    <row r="52" ht="18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>
        <f>E52*F52*(1-G52/100)*(1+H52/100)</f>
        <v/>
      </c>
      <c r="J52" s="4" t="n"/>
      <c r="K52" s="4" t="n"/>
      <c r="L52" s="4" t="n"/>
      <c r="M52" s="4">
        <f>F52*(1-G52/100)-2.8</f>
        <v/>
      </c>
      <c r="N52" s="4">
        <f>M52*E52</f>
        <v/>
      </c>
    </row>
    <row r="53" ht="18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>
        <f>E53*F53*(1-G53/100)*(1+H53/100)</f>
        <v/>
      </c>
      <c r="J53" s="3" t="n"/>
      <c r="K53" s="3" t="n"/>
      <c r="L53" s="3" t="n"/>
      <c r="M53" s="3">
        <f>F53*(1-G53/100)-2.8</f>
        <v/>
      </c>
      <c r="N53" s="3">
        <f>M53*E53</f>
        <v/>
      </c>
    </row>
    <row r="54" ht="18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>
        <f>E54*F54*(1-G54/100)*(1+H54/100)</f>
        <v/>
      </c>
      <c r="J54" s="4" t="n"/>
      <c r="K54" s="4" t="n"/>
      <c r="L54" s="4" t="n"/>
      <c r="M54" s="4">
        <f>F54*(1-G54/100)-2.8</f>
        <v/>
      </c>
      <c r="N54" s="4">
        <f>M54*E54</f>
        <v/>
      </c>
    </row>
    <row r="55" ht="18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>
        <f>E55*F55*(1-G55/100)*(1+H55/100)</f>
        <v/>
      </c>
      <c r="J55" s="3" t="n"/>
      <c r="K55" s="3" t="n"/>
      <c r="L55" s="3" t="n"/>
      <c r="M55" s="3">
        <f>F55*(1-G55/100)-2.8</f>
        <v/>
      </c>
      <c r="N55" s="3">
        <f>M55*E55</f>
        <v/>
      </c>
    </row>
    <row r="56" ht="18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>
        <f>E56*F56*(1-G56/100)*(1+H56/100)</f>
        <v/>
      </c>
      <c r="J56" s="4" t="n"/>
      <c r="K56" s="4" t="n"/>
      <c r="L56" s="4" t="n"/>
      <c r="M56" s="4">
        <f>F56*(1-G56/100)-2.8</f>
        <v/>
      </c>
      <c r="N56" s="4">
        <f>M56*E56</f>
        <v/>
      </c>
    </row>
    <row r="57" ht="18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>
        <f>E57*F57*(1-G57/100)*(1+H57/100)</f>
        <v/>
      </c>
      <c r="J57" s="3" t="n"/>
      <c r="K57" s="3" t="n"/>
      <c r="L57" s="3" t="n"/>
      <c r="M57" s="3">
        <f>F57*(1-G57/100)-2.8</f>
        <v/>
      </c>
      <c r="N57" s="3">
        <f>M57*E57</f>
        <v/>
      </c>
    </row>
    <row r="58" ht="18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>
        <f>E58*F58*(1-G58/100)*(1+H58/100)</f>
        <v/>
      </c>
      <c r="J58" s="4" t="n"/>
      <c r="K58" s="4" t="n"/>
      <c r="L58" s="4" t="n"/>
      <c r="M58" s="4">
        <f>F58*(1-G58/100)-2.8</f>
        <v/>
      </c>
      <c r="N58" s="4">
        <f>M58*E58</f>
        <v/>
      </c>
    </row>
    <row r="59" ht="18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>
        <f>E59*F59*(1-G59/100)*(1+H59/100)</f>
        <v/>
      </c>
      <c r="J59" s="3" t="n"/>
      <c r="K59" s="3" t="n"/>
      <c r="L59" s="3" t="n"/>
      <c r="M59" s="3">
        <f>F59*(1-G59/100)-2.8</f>
        <v/>
      </c>
      <c r="N59" s="3">
        <f>M59*E59</f>
        <v/>
      </c>
    </row>
    <row r="60" ht="18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>
        <f>E60*F60*(1-G60/100)*(1+H60/100)</f>
        <v/>
      </c>
      <c r="J60" s="4" t="n"/>
      <c r="K60" s="4" t="n"/>
      <c r="L60" s="4" t="n"/>
      <c r="M60" s="4">
        <f>F60*(1-G60/100)-2.8</f>
        <v/>
      </c>
      <c r="N60" s="4">
        <f>M60*E60</f>
        <v/>
      </c>
    </row>
    <row r="61" ht="18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>
        <f>E61*F61*(1-G61/100)*(1+H61/100)</f>
        <v/>
      </c>
      <c r="J61" s="3" t="n"/>
      <c r="K61" s="3" t="n"/>
      <c r="L61" s="3" t="n"/>
      <c r="M61" s="3">
        <f>F61*(1-G61/100)-2.8</f>
        <v/>
      </c>
      <c r="N61" s="3">
        <f>M61*E61</f>
        <v/>
      </c>
    </row>
    <row r="62" ht="18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>
        <f>E62*F62*(1-G62/100)*(1+H62/100)</f>
        <v/>
      </c>
      <c r="J62" s="4" t="n"/>
      <c r="K62" s="4" t="n"/>
      <c r="L62" s="4" t="n"/>
      <c r="M62" s="4">
        <f>F62*(1-G62/100)-2.8</f>
        <v/>
      </c>
      <c r="N62" s="4">
        <f>M62*E62</f>
        <v/>
      </c>
    </row>
    <row r="63" ht="18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>
        <f>E63*F63*(1-G63/100)*(1+H63/100)</f>
        <v/>
      </c>
      <c r="J63" s="3" t="n"/>
      <c r="K63" s="3" t="n"/>
      <c r="L63" s="3" t="n"/>
      <c r="M63" s="3">
        <f>F63*(1-G63/100)-2.8</f>
        <v/>
      </c>
      <c r="N63" s="3">
        <f>M63*E63</f>
        <v/>
      </c>
    </row>
    <row r="64" ht="18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>
        <f>E64*F64*(1-G64/100)*(1+H64/100)</f>
        <v/>
      </c>
      <c r="J64" s="4" t="n"/>
      <c r="K64" s="4" t="n"/>
      <c r="L64" s="4" t="n"/>
      <c r="M64" s="4">
        <f>F64*(1-G64/100)-2.8</f>
        <v/>
      </c>
      <c r="N64" s="4">
        <f>M64*E64</f>
        <v/>
      </c>
    </row>
    <row r="65" ht="18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>
        <f>E65*F65*(1-G65/100)*(1+H65/100)</f>
        <v/>
      </c>
      <c r="J65" s="3" t="n"/>
      <c r="K65" s="3" t="n"/>
      <c r="L65" s="3" t="n"/>
      <c r="M65" s="3">
        <f>F65*(1-G65/100)-2.8</f>
        <v/>
      </c>
      <c r="N65" s="3">
        <f>M65*E65</f>
        <v/>
      </c>
    </row>
    <row r="66" ht="18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>
        <f>E66*F66*(1-G66/100)*(1+H66/100)</f>
        <v/>
      </c>
      <c r="J66" s="4" t="n"/>
      <c r="K66" s="4" t="n"/>
      <c r="L66" s="4" t="n"/>
      <c r="M66" s="4">
        <f>F66*(1-G66/100)-2.8</f>
        <v/>
      </c>
      <c r="N66" s="4">
        <f>M66*E66</f>
        <v/>
      </c>
    </row>
    <row r="67" ht="18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>
        <f>E67*F67*(1-G67/100)*(1+H67/100)</f>
        <v/>
      </c>
      <c r="J67" s="3" t="n"/>
      <c r="K67" s="3" t="n"/>
      <c r="L67" s="3" t="n"/>
      <c r="M67" s="3">
        <f>F67*(1-G67/100)-2.8</f>
        <v/>
      </c>
      <c r="N67" s="3">
        <f>M67*E67</f>
        <v/>
      </c>
    </row>
    <row r="68" ht="18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>
        <f>E68*F68*(1-G68/100)*(1+H68/100)</f>
        <v/>
      </c>
      <c r="J68" s="4" t="n"/>
      <c r="K68" s="4" t="n"/>
      <c r="L68" s="4" t="n"/>
      <c r="M68" s="4">
        <f>F68*(1-G68/100)-2.8</f>
        <v/>
      </c>
      <c r="N68" s="4">
        <f>M68*E68</f>
        <v/>
      </c>
    </row>
    <row r="69" ht="18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>
        <f>E69*F69*(1-G69/100)*(1+H69/100)</f>
        <v/>
      </c>
      <c r="J69" s="3" t="n"/>
      <c r="K69" s="3" t="n"/>
      <c r="L69" s="3" t="n"/>
      <c r="M69" s="3">
        <f>F69*(1-G69/100)-2.8</f>
        <v/>
      </c>
      <c r="N69" s="3">
        <f>M69*E69</f>
        <v/>
      </c>
    </row>
    <row r="70" ht="18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>
        <f>E70*F70*(1-G70/100)*(1+H70/100)</f>
        <v/>
      </c>
      <c r="J70" s="4" t="n"/>
      <c r="K70" s="4" t="n"/>
      <c r="L70" s="4" t="n"/>
      <c r="M70" s="4">
        <f>F70*(1-G70/100)-2.8</f>
        <v/>
      </c>
      <c r="N70" s="4">
        <f>M70*E70</f>
        <v/>
      </c>
    </row>
    <row r="71" ht="18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>
        <f>E71*F71*(1-G71/100)*(1+H71/100)</f>
        <v/>
      </c>
      <c r="J71" s="3" t="n"/>
      <c r="K71" s="3" t="n"/>
      <c r="L71" s="3" t="n"/>
      <c r="M71" s="3">
        <f>F71*(1-G71/100)-2.8</f>
        <v/>
      </c>
      <c r="N71" s="3">
        <f>M71*E71</f>
        <v/>
      </c>
    </row>
    <row r="72" ht="18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>
        <f>E72*F72*(1-G72/100)*(1+H72/100)</f>
        <v/>
      </c>
      <c r="J72" s="4" t="n"/>
      <c r="K72" s="4" t="n"/>
      <c r="L72" s="4" t="n"/>
      <c r="M72" s="4">
        <f>F72*(1-G72/100)-2.8</f>
        <v/>
      </c>
      <c r="N72" s="4">
        <f>M72*E72</f>
        <v/>
      </c>
    </row>
    <row r="73" ht="18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>
        <f>E73*F73*(1-G73/100)*(1+H73/100)</f>
        <v/>
      </c>
      <c r="J73" s="3" t="n"/>
      <c r="K73" s="3" t="n"/>
      <c r="L73" s="3" t="n"/>
      <c r="M73" s="3">
        <f>F73*(1-G73/100)-2.8</f>
        <v/>
      </c>
      <c r="N73" s="3">
        <f>M73*E73</f>
        <v/>
      </c>
    </row>
    <row r="74" ht="18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>
        <f>E74*F74*(1-G74/100)*(1+H74/100)</f>
        <v/>
      </c>
      <c r="J74" s="4" t="n"/>
      <c r="K74" s="4" t="n"/>
      <c r="L74" s="4" t="n"/>
      <c r="M74" s="4">
        <f>F74*(1-G74/100)-2.8</f>
        <v/>
      </c>
      <c r="N74" s="4">
        <f>M74*E74</f>
        <v/>
      </c>
    </row>
    <row r="75" ht="18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>
        <f>E75*F75*(1-G75/100)*(1+H75/100)</f>
        <v/>
      </c>
      <c r="J75" s="3" t="n"/>
      <c r="K75" s="3" t="n"/>
      <c r="L75" s="3" t="n"/>
      <c r="M75" s="3">
        <f>F75*(1-G75/100)-2.8</f>
        <v/>
      </c>
      <c r="N75" s="3">
        <f>M75*E75</f>
        <v/>
      </c>
    </row>
    <row r="76" ht="18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>
        <f>E76*F76*(1-G76/100)*(1+H76/100)</f>
        <v/>
      </c>
      <c r="J76" s="4" t="n"/>
      <c r="K76" s="4" t="n"/>
      <c r="L76" s="4" t="n"/>
      <c r="M76" s="4">
        <f>F76*(1-G76/100)-2.8</f>
        <v/>
      </c>
      <c r="N76" s="4">
        <f>M76*E76</f>
        <v/>
      </c>
    </row>
    <row r="77" ht="18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>
        <f>E77*F77*(1-G77/100)*(1+H77/100)</f>
        <v/>
      </c>
      <c r="J77" s="3" t="n"/>
      <c r="K77" s="3" t="n"/>
      <c r="L77" s="3" t="n"/>
      <c r="M77" s="3">
        <f>F77*(1-G77/100)-2.8</f>
        <v/>
      </c>
      <c r="N77" s="3">
        <f>M77*E77</f>
        <v/>
      </c>
    </row>
    <row r="78" ht="18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>
        <f>E78*F78*(1-G78/100)*(1+H78/100)</f>
        <v/>
      </c>
      <c r="J78" s="4" t="n"/>
      <c r="K78" s="4" t="n"/>
      <c r="L78" s="4" t="n"/>
      <c r="M78" s="4">
        <f>F78*(1-G78/100)-2.8</f>
        <v/>
      </c>
      <c r="N78" s="4">
        <f>M78*E78</f>
        <v/>
      </c>
    </row>
    <row r="79" ht="18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>
        <f>E79*F79*(1-G79/100)*(1+H79/100)</f>
        <v/>
      </c>
      <c r="J79" s="3" t="n"/>
      <c r="K79" s="3" t="n"/>
      <c r="L79" s="3" t="n"/>
      <c r="M79" s="3">
        <f>F79*(1-G79/100)-2.8</f>
        <v/>
      </c>
      <c r="N79" s="3">
        <f>M79*E79</f>
        <v/>
      </c>
    </row>
    <row r="80" ht="18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>
        <f>E80*F80*(1-G80/100)*(1+H80/100)</f>
        <v/>
      </c>
      <c r="J80" s="4" t="n"/>
      <c r="K80" s="4" t="n"/>
      <c r="L80" s="4" t="n"/>
      <c r="M80" s="4">
        <f>F80*(1-G80/100)-2.8</f>
        <v/>
      </c>
      <c r="N80" s="4">
        <f>M80*E80</f>
        <v/>
      </c>
    </row>
    <row r="81" ht="18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>
        <f>E81*F81*(1-G81/100)*(1+H81/100)</f>
        <v/>
      </c>
      <c r="J81" s="3" t="n"/>
      <c r="K81" s="3" t="n"/>
      <c r="L81" s="3" t="n"/>
      <c r="M81" s="3">
        <f>F81*(1-G81/100)-2.8</f>
        <v/>
      </c>
      <c r="N81" s="3">
        <f>M81*E81</f>
        <v/>
      </c>
    </row>
    <row r="82" ht="18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>
        <f>E82*F82*(1-G82/100)*(1+H82/100)</f>
        <v/>
      </c>
      <c r="J82" s="4" t="n"/>
      <c r="K82" s="4" t="n"/>
      <c r="L82" s="4" t="n"/>
      <c r="M82" s="4">
        <f>F82*(1-G82/100)-2.8</f>
        <v/>
      </c>
      <c r="N82" s="4">
        <f>M82*E82</f>
        <v/>
      </c>
    </row>
    <row r="83" ht="18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>
        <f>E83*F83*(1-G83/100)*(1+H83/100)</f>
        <v/>
      </c>
      <c r="J83" s="3" t="n"/>
      <c r="K83" s="3" t="n"/>
      <c r="L83" s="3" t="n"/>
      <c r="M83" s="3">
        <f>F83*(1-G83/100)-2.8</f>
        <v/>
      </c>
      <c r="N83" s="3">
        <f>M83*E83</f>
        <v/>
      </c>
    </row>
    <row r="84" ht="18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>
        <f>E84*F84*(1-G84/100)*(1+H84/100)</f>
        <v/>
      </c>
      <c r="J84" s="4" t="n"/>
      <c r="K84" s="4" t="n"/>
      <c r="L84" s="4" t="n"/>
      <c r="M84" s="4">
        <f>F84*(1-G84/100)-2.8</f>
        <v/>
      </c>
      <c r="N84" s="4">
        <f>M84*E84</f>
        <v/>
      </c>
    </row>
    <row r="85" ht="18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>
        <f>E85*F85*(1-G85/100)*(1+H85/100)</f>
        <v/>
      </c>
      <c r="J85" s="3" t="n"/>
      <c r="K85" s="3" t="n"/>
      <c r="L85" s="3" t="n"/>
      <c r="M85" s="3">
        <f>F85*(1-G85/100)-2.8</f>
        <v/>
      </c>
      <c r="N85" s="3">
        <f>M85*E85</f>
        <v/>
      </c>
    </row>
    <row r="86" ht="18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>
        <f>E86*F86*(1-G86/100)*(1+H86/100)</f>
        <v/>
      </c>
      <c r="J86" s="4" t="n"/>
      <c r="K86" s="4" t="n"/>
      <c r="L86" s="4" t="n"/>
      <c r="M86" s="4">
        <f>F86*(1-G86/100)-2.8</f>
        <v/>
      </c>
      <c r="N86" s="4">
        <f>M86*E86</f>
        <v/>
      </c>
    </row>
    <row r="87" ht="18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>
        <f>E87*F87*(1-G87/100)*(1+H87/100)</f>
        <v/>
      </c>
      <c r="J87" s="3" t="n"/>
      <c r="K87" s="3" t="n"/>
      <c r="L87" s="3" t="n"/>
      <c r="M87" s="3">
        <f>F87*(1-G87/100)-2.8</f>
        <v/>
      </c>
      <c r="N87" s="3">
        <f>M87*E87</f>
        <v/>
      </c>
    </row>
    <row r="88" ht="18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>
        <f>E88*F88*(1-G88/100)*(1+H88/100)</f>
        <v/>
      </c>
      <c r="J88" s="4" t="n"/>
      <c r="K88" s="4" t="n"/>
      <c r="L88" s="4" t="n"/>
      <c r="M88" s="4">
        <f>F88*(1-G88/100)-2.8</f>
        <v/>
      </c>
      <c r="N88" s="4">
        <f>M88*E88</f>
        <v/>
      </c>
    </row>
    <row r="89" ht="18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>
        <f>E89*F89*(1-G89/100)*(1+H89/100)</f>
        <v/>
      </c>
      <c r="J89" s="3" t="n"/>
      <c r="K89" s="3" t="n"/>
      <c r="L89" s="3" t="n"/>
      <c r="M89" s="3">
        <f>F89*(1-G89/100)-2.8</f>
        <v/>
      </c>
      <c r="N89" s="3">
        <f>M89*E89</f>
        <v/>
      </c>
    </row>
    <row r="90" ht="18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>
        <f>E90*F90*(1-G90/100)*(1+H90/100)</f>
        <v/>
      </c>
      <c r="J90" s="4" t="n"/>
      <c r="K90" s="4" t="n"/>
      <c r="L90" s="4" t="n"/>
      <c r="M90" s="4">
        <f>F90*(1-G90/100)-2.8</f>
        <v/>
      </c>
      <c r="N90" s="4">
        <f>M90*E90</f>
        <v/>
      </c>
    </row>
    <row r="91" ht="18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>
        <f>E91*F91*(1-G91/100)*(1+H91/100)</f>
        <v/>
      </c>
      <c r="J91" s="3" t="n"/>
      <c r="K91" s="3" t="n"/>
      <c r="L91" s="3" t="n"/>
      <c r="M91" s="3">
        <f>F91*(1-G91/100)-2.8</f>
        <v/>
      </c>
      <c r="N91" s="3">
        <f>M91*E91</f>
        <v/>
      </c>
    </row>
    <row r="92" ht="18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>
        <f>E92*F92*(1-G92/100)*(1+H92/100)</f>
        <v/>
      </c>
      <c r="J92" s="4" t="n"/>
      <c r="K92" s="4" t="n"/>
      <c r="L92" s="4" t="n"/>
      <c r="M92" s="4">
        <f>F92*(1-G92/100)-2.8</f>
        <v/>
      </c>
      <c r="N92" s="4">
        <f>M92*E92</f>
        <v/>
      </c>
    </row>
    <row r="93" ht="18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>
        <f>E93*F93*(1-G93/100)*(1+H93/100)</f>
        <v/>
      </c>
      <c r="J93" s="3" t="n"/>
      <c r="K93" s="3" t="n"/>
      <c r="L93" s="3" t="n"/>
      <c r="M93" s="3">
        <f>F93*(1-G93/100)-2.8</f>
        <v/>
      </c>
      <c r="N93" s="3">
        <f>M93*E93</f>
        <v/>
      </c>
    </row>
    <row r="94" ht="18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>
        <f>E94*F94*(1-G94/100)*(1+H94/100)</f>
        <v/>
      </c>
      <c r="J94" s="4" t="n"/>
      <c r="K94" s="4" t="n"/>
      <c r="L94" s="4" t="n"/>
      <c r="M94" s="4">
        <f>F94*(1-G94/100)-2.8</f>
        <v/>
      </c>
      <c r="N94" s="4">
        <f>M94*E94</f>
        <v/>
      </c>
    </row>
    <row r="95" ht="18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>
        <f>E95*F95*(1-G95/100)*(1+H95/100)</f>
        <v/>
      </c>
      <c r="J95" s="3" t="n"/>
      <c r="K95" s="3" t="n"/>
      <c r="L95" s="3" t="n"/>
      <c r="M95" s="3">
        <f>F95*(1-G95/100)-2.8</f>
        <v/>
      </c>
      <c r="N95" s="3">
        <f>M95*E95</f>
        <v/>
      </c>
    </row>
    <row r="96" ht="18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>
        <f>E96*F96*(1-G96/100)*(1+H96/100)</f>
        <v/>
      </c>
      <c r="J96" s="4" t="n"/>
      <c r="K96" s="4" t="n"/>
      <c r="L96" s="4" t="n"/>
      <c r="M96" s="4">
        <f>F96*(1-G96/100)-2.8</f>
        <v/>
      </c>
      <c r="N96" s="4">
        <f>M96*E96</f>
        <v/>
      </c>
    </row>
    <row r="97" ht="18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>
        <f>E97*F97*(1-G97/100)*(1+H97/100)</f>
        <v/>
      </c>
      <c r="J97" s="3" t="n"/>
      <c r="K97" s="3" t="n"/>
      <c r="L97" s="3" t="n"/>
      <c r="M97" s="3">
        <f>F97*(1-G97/100)-2.8</f>
        <v/>
      </c>
      <c r="N97" s="3">
        <f>M97*E97</f>
        <v/>
      </c>
    </row>
    <row r="98" ht="18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>
        <f>E98*F98*(1-G98/100)*(1+H98/100)</f>
        <v/>
      </c>
      <c r="J98" s="4" t="n"/>
      <c r="K98" s="4" t="n"/>
      <c r="L98" s="4" t="n"/>
      <c r="M98" s="4">
        <f>F98*(1-G98/100)-2.8</f>
        <v/>
      </c>
      <c r="N98" s="4">
        <f>M98*E98</f>
        <v/>
      </c>
    </row>
    <row r="99" ht="18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>
        <f>E99*F99*(1-G99/100)*(1+H99/100)</f>
        <v/>
      </c>
      <c r="J99" s="3" t="n"/>
      <c r="K99" s="3" t="n"/>
      <c r="L99" s="3" t="n"/>
      <c r="M99" s="3">
        <f>F99*(1-G99/100)-2.8</f>
        <v/>
      </c>
      <c r="N99" s="3">
        <f>M99*E99</f>
        <v/>
      </c>
    </row>
    <row r="100" ht="18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>
        <f>E100*F100*(1-G100/100)*(1+H100/100)</f>
        <v/>
      </c>
      <c r="J100" s="4" t="n"/>
      <c r="K100" s="4" t="n"/>
      <c r="L100" s="4" t="n"/>
      <c r="M100" s="4">
        <f>F100*(1-G100/100)-2.8</f>
        <v/>
      </c>
      <c r="N100" s="4">
        <f>M100*E100</f>
        <v/>
      </c>
    </row>
    <row r="101" ht="18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>
        <f>E101*F101*(1-G101/100)*(1+H101/100)</f>
        <v/>
      </c>
      <c r="J101" s="3" t="n"/>
      <c r="K101" s="3" t="n"/>
      <c r="L101" s="3" t="n"/>
      <c r="M101" s="3">
        <f>F101*(1-G101/100)-2.8</f>
        <v/>
      </c>
      <c r="N101" s="3">
        <f>M101*E101</f>
        <v/>
      </c>
    </row>
    <row r="102" ht="18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>
        <f>E102*F102*(1-G102/100)*(1+H102/100)</f>
        <v/>
      </c>
      <c r="J102" s="4" t="n"/>
      <c r="K102" s="4" t="n"/>
      <c r="L102" s="4" t="n"/>
      <c r="M102" s="4">
        <f>F102*(1-G102/100)-2.8</f>
        <v/>
      </c>
      <c r="N102" s="4">
        <f>M102*E102</f>
        <v/>
      </c>
    </row>
    <row r="103" ht="18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>
        <f>E103*F103*(1-G103/100)*(1+H103/100)</f>
        <v/>
      </c>
      <c r="J103" s="3" t="n"/>
      <c r="K103" s="3" t="n"/>
      <c r="L103" s="3" t="n"/>
      <c r="M103" s="3">
        <f>F103*(1-G103/100)-2.8</f>
        <v/>
      </c>
      <c r="N103" s="3">
        <f>M103*E103</f>
        <v/>
      </c>
    </row>
    <row r="104" ht="18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>
        <f>E104*F104*(1-G104/100)*(1+H104/100)</f>
        <v/>
      </c>
      <c r="J104" s="4" t="n"/>
      <c r="K104" s="4" t="n"/>
      <c r="L104" s="4" t="n"/>
      <c r="M104" s="4">
        <f>F104*(1-G104/100)-2.8</f>
        <v/>
      </c>
      <c r="N104" s="4">
        <f>M104*E104</f>
        <v/>
      </c>
    </row>
    <row r="105" ht="18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>
        <f>E105*F105*(1-G105/100)*(1+H105/100)</f>
        <v/>
      </c>
      <c r="J105" s="3" t="n"/>
      <c r="K105" s="3" t="n"/>
      <c r="L105" s="3" t="n"/>
      <c r="M105" s="3">
        <f>F105*(1-G105/100)-2.8</f>
        <v/>
      </c>
      <c r="N105" s="3">
        <f>M105*E105</f>
        <v/>
      </c>
    </row>
    <row r="106" ht="18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>
        <f>E106*F106*(1-G106/100)*(1+H106/100)</f>
        <v/>
      </c>
      <c r="J106" s="4" t="n"/>
      <c r="K106" s="4" t="n"/>
      <c r="L106" s="4" t="n"/>
      <c r="M106" s="4">
        <f>F106*(1-G106/100)-2.8</f>
        <v/>
      </c>
      <c r="N106" s="4">
        <f>M106*E106</f>
        <v/>
      </c>
    </row>
    <row r="107" ht="18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>
        <f>E107*F107*(1-G107/100)*(1+H107/100)</f>
        <v/>
      </c>
      <c r="J107" s="3" t="n"/>
      <c r="K107" s="3" t="n"/>
      <c r="L107" s="3" t="n"/>
      <c r="M107" s="3">
        <f>F107*(1-G107/100)-2.8</f>
        <v/>
      </c>
      <c r="N107" s="3">
        <f>M107*E107</f>
        <v/>
      </c>
    </row>
    <row r="108" ht="18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>
        <f>E108*F108*(1-G108/100)*(1+H108/100)</f>
        <v/>
      </c>
      <c r="J108" s="4" t="n"/>
      <c r="K108" s="4" t="n"/>
      <c r="L108" s="4" t="n"/>
      <c r="M108" s="4">
        <f>F108*(1-G108/100)-2.8</f>
        <v/>
      </c>
      <c r="N108" s="4">
        <f>M108*E108</f>
        <v/>
      </c>
    </row>
    <row r="109" ht="18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>
        <f>E109*F109*(1-G109/100)*(1+H109/100)</f>
        <v/>
      </c>
      <c r="J109" s="3" t="n"/>
      <c r="K109" s="3" t="n"/>
      <c r="L109" s="3" t="n"/>
      <c r="M109" s="3">
        <f>F109*(1-G109/100)-2.8</f>
        <v/>
      </c>
      <c r="N109" s="3">
        <f>M109*E109</f>
        <v/>
      </c>
    </row>
    <row r="110" ht="18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>
        <f>E110*F110*(1-G110/100)*(1+H110/100)</f>
        <v/>
      </c>
      <c r="J110" s="4" t="n"/>
      <c r="K110" s="4" t="n"/>
      <c r="L110" s="4" t="n"/>
      <c r="M110" s="4">
        <f>F110*(1-G110/100)-2.8</f>
        <v/>
      </c>
      <c r="N110" s="4">
        <f>M110*E110</f>
        <v/>
      </c>
    </row>
    <row r="111" ht="18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>
        <f>E111*F111*(1-G111/100)*(1+H111/100)</f>
        <v/>
      </c>
      <c r="J111" s="3" t="n"/>
      <c r="K111" s="3" t="n"/>
      <c r="L111" s="3" t="n"/>
      <c r="M111" s="3">
        <f>F111*(1-G111/100)-2.8</f>
        <v/>
      </c>
      <c r="N111" s="3">
        <f>M111*E111</f>
        <v/>
      </c>
    </row>
    <row r="112" ht="18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>
        <f>E112*F112*(1-G112/100)*(1+H112/100)</f>
        <v/>
      </c>
      <c r="J112" s="4" t="n"/>
      <c r="K112" s="4" t="n"/>
      <c r="L112" s="4" t="n"/>
      <c r="M112" s="4">
        <f>F112*(1-G112/100)-2.8</f>
        <v/>
      </c>
      <c r="N112" s="4">
        <f>M112*E112</f>
        <v/>
      </c>
    </row>
    <row r="113" ht="18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>
        <f>E113*F113*(1-G113/100)*(1+H113/100)</f>
        <v/>
      </c>
      <c r="J113" s="3" t="n"/>
      <c r="K113" s="3" t="n"/>
      <c r="L113" s="3" t="n"/>
      <c r="M113" s="3">
        <f>F113*(1-G113/100)-2.8</f>
        <v/>
      </c>
      <c r="N113" s="3">
        <f>M113*E113</f>
        <v/>
      </c>
    </row>
    <row r="114" ht="18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>
        <f>E114*F114*(1-G114/100)*(1+H114/100)</f>
        <v/>
      </c>
      <c r="J114" s="4" t="n"/>
      <c r="K114" s="4" t="n"/>
      <c r="L114" s="4" t="n"/>
      <c r="M114" s="4">
        <f>F114*(1-G114/100)-2.8</f>
        <v/>
      </c>
      <c r="N114" s="4">
        <f>M114*E114</f>
        <v/>
      </c>
    </row>
    <row r="115" ht="18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>
        <f>E115*F115*(1-G115/100)*(1+H115/100)</f>
        <v/>
      </c>
      <c r="J115" s="3" t="n"/>
      <c r="K115" s="3" t="n"/>
      <c r="L115" s="3" t="n"/>
      <c r="M115" s="3">
        <f>F115*(1-G115/100)-2.8</f>
        <v/>
      </c>
      <c r="N115" s="3">
        <f>M115*E115</f>
        <v/>
      </c>
    </row>
    <row r="116" ht="18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>
        <f>E116*F116*(1-G116/100)*(1+H116/100)</f>
        <v/>
      </c>
      <c r="J116" s="4" t="n"/>
      <c r="K116" s="4" t="n"/>
      <c r="L116" s="4" t="n"/>
      <c r="M116" s="4">
        <f>F116*(1-G116/100)-2.8</f>
        <v/>
      </c>
      <c r="N116" s="4">
        <f>M116*E116</f>
        <v/>
      </c>
    </row>
    <row r="117" ht="18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>
        <f>E117*F117*(1-G117/100)*(1+H117/100)</f>
        <v/>
      </c>
      <c r="J117" s="3" t="n"/>
      <c r="K117" s="3" t="n"/>
      <c r="L117" s="3" t="n"/>
      <c r="M117" s="3">
        <f>F117*(1-G117/100)-2.8</f>
        <v/>
      </c>
      <c r="N117" s="3">
        <f>M117*E117</f>
        <v/>
      </c>
    </row>
    <row r="118" ht="18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>
        <f>E118*F118*(1-G118/100)*(1+H118/100)</f>
        <v/>
      </c>
      <c r="J118" s="4" t="n"/>
      <c r="K118" s="4" t="n"/>
      <c r="L118" s="4" t="n"/>
      <c r="M118" s="4">
        <f>F118*(1-G118/100)-2.8</f>
        <v/>
      </c>
      <c r="N118" s="4">
        <f>M118*E118</f>
        <v/>
      </c>
    </row>
    <row r="119" ht="18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>
        <f>E119*F119*(1-G119/100)*(1+H119/100)</f>
        <v/>
      </c>
      <c r="J119" s="3" t="n"/>
      <c r="K119" s="3" t="n"/>
      <c r="L119" s="3" t="n"/>
      <c r="M119" s="3">
        <f>F119*(1-G119/100)-2.8</f>
        <v/>
      </c>
      <c r="N119" s="3">
        <f>M119*E119</f>
        <v/>
      </c>
    </row>
    <row r="120" ht="18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>
        <f>E120*F120*(1-G120/100)*(1+H120/100)</f>
        <v/>
      </c>
      <c r="J120" s="4" t="n"/>
      <c r="K120" s="4" t="n"/>
      <c r="L120" s="4" t="n"/>
      <c r="M120" s="4">
        <f>F120*(1-G120/100)-2.8</f>
        <v/>
      </c>
      <c r="N120" s="4">
        <f>M120*E120</f>
        <v/>
      </c>
    </row>
    <row r="121" ht="18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>
        <f>E121*F121*(1-G121/100)*(1+H121/100)</f>
        <v/>
      </c>
      <c r="J121" s="3" t="n"/>
      <c r="K121" s="3" t="n"/>
      <c r="L121" s="3" t="n"/>
      <c r="M121" s="3">
        <f>F121*(1-G121/100)-2.8</f>
        <v/>
      </c>
      <c r="N121" s="3">
        <f>M121*E121</f>
        <v/>
      </c>
    </row>
    <row r="122" ht="18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>
        <f>E122*F122*(1-G122/100)*(1+H122/100)</f>
        <v/>
      </c>
      <c r="J122" s="4" t="n"/>
      <c r="K122" s="4" t="n"/>
      <c r="L122" s="4" t="n"/>
      <c r="M122" s="4">
        <f>F122*(1-G122/100)-2.8</f>
        <v/>
      </c>
      <c r="N122" s="4">
        <f>M122*E122</f>
        <v/>
      </c>
    </row>
    <row r="123" ht="18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>
        <f>E123*F123*(1-G123/100)*(1+H123/100)</f>
        <v/>
      </c>
      <c r="J123" s="3" t="n"/>
      <c r="K123" s="3" t="n"/>
      <c r="L123" s="3" t="n"/>
      <c r="M123" s="3">
        <f>F123*(1-G123/100)-2.8</f>
        <v/>
      </c>
      <c r="N123" s="3">
        <f>M123*E123</f>
        <v/>
      </c>
    </row>
    <row r="124" ht="18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>
        <f>E124*F124*(1-G124/100)*(1+H124/100)</f>
        <v/>
      </c>
      <c r="J124" s="4" t="n"/>
      <c r="K124" s="4" t="n"/>
      <c r="L124" s="4" t="n"/>
      <c r="M124" s="4">
        <f>F124*(1-G124/100)-2.8</f>
        <v/>
      </c>
      <c r="N124" s="4">
        <f>M124*E124</f>
        <v/>
      </c>
    </row>
    <row r="125" ht="18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>
        <f>E125*F125*(1-G125/100)*(1+H125/100)</f>
        <v/>
      </c>
      <c r="J125" s="3" t="n"/>
      <c r="K125" s="3" t="n"/>
      <c r="L125" s="3" t="n"/>
      <c r="M125" s="3">
        <f>F125*(1-G125/100)-2.8</f>
        <v/>
      </c>
      <c r="N125" s="3">
        <f>M125*E125</f>
        <v/>
      </c>
    </row>
    <row r="126" ht="18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>
        <f>E126*F126*(1-G126/100)*(1+H126/100)</f>
        <v/>
      </c>
      <c r="J126" s="4" t="n"/>
      <c r="K126" s="4" t="n"/>
      <c r="L126" s="4" t="n"/>
      <c r="M126" s="4">
        <f>F126*(1-G126/100)-2.8</f>
        <v/>
      </c>
      <c r="N126" s="4">
        <f>M126*E126</f>
        <v/>
      </c>
    </row>
    <row r="127" ht="18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>
        <f>E127*F127*(1-G127/100)*(1+H127/100)</f>
        <v/>
      </c>
      <c r="J127" s="3" t="n"/>
      <c r="K127" s="3" t="n"/>
      <c r="L127" s="3" t="n"/>
      <c r="M127" s="3">
        <f>F127*(1-G127/100)-2.8</f>
        <v/>
      </c>
      <c r="N127" s="3">
        <f>M127*E127</f>
        <v/>
      </c>
    </row>
    <row r="128" ht="18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>
        <f>E128*F128*(1-G128/100)*(1+H128/100)</f>
        <v/>
      </c>
      <c r="J128" s="4" t="n"/>
      <c r="K128" s="4" t="n"/>
      <c r="L128" s="4" t="n"/>
      <c r="M128" s="4">
        <f>F128*(1-G128/100)-2.8</f>
        <v/>
      </c>
      <c r="N128" s="4">
        <f>M128*E128</f>
        <v/>
      </c>
    </row>
    <row r="129" ht="18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>
        <f>E129*F129*(1-G129/100)*(1+H129/100)</f>
        <v/>
      </c>
      <c r="J129" s="3" t="n"/>
      <c r="K129" s="3" t="n"/>
      <c r="L129" s="3" t="n"/>
      <c r="M129" s="3">
        <f>F129*(1-G129/100)-2.8</f>
        <v/>
      </c>
      <c r="N129" s="3">
        <f>M129*E129</f>
        <v/>
      </c>
    </row>
    <row r="130" ht="18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>
        <f>E130*F130*(1-G130/100)*(1+H130/100)</f>
        <v/>
      </c>
      <c r="J130" s="4" t="n"/>
      <c r="K130" s="4" t="n"/>
      <c r="L130" s="4" t="n"/>
      <c r="M130" s="4">
        <f>F130*(1-G130/100)-2.8</f>
        <v/>
      </c>
      <c r="N130" s="4">
        <f>M130*E130</f>
        <v/>
      </c>
    </row>
    <row r="131" ht="18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>
        <f>E131*F131*(1-G131/100)*(1+H131/100)</f>
        <v/>
      </c>
      <c r="J131" s="3" t="n"/>
      <c r="K131" s="3" t="n"/>
      <c r="L131" s="3" t="n"/>
      <c r="M131" s="3">
        <f>F131*(1-G131/100)-2.8</f>
        <v/>
      </c>
      <c r="N131" s="3">
        <f>M131*E131</f>
        <v/>
      </c>
    </row>
    <row r="132" ht="18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>
        <f>E132*F132*(1-G132/100)*(1+H132/100)</f>
        <v/>
      </c>
      <c r="J132" s="4" t="n"/>
      <c r="K132" s="4" t="n"/>
      <c r="L132" s="4" t="n"/>
      <c r="M132" s="4">
        <f>F132*(1-G132/100)-2.8</f>
        <v/>
      </c>
      <c r="N132" s="4">
        <f>M132*E132</f>
        <v/>
      </c>
    </row>
    <row r="133" ht="18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>
        <f>E133*F133*(1-G133/100)*(1+H133/100)</f>
        <v/>
      </c>
      <c r="J133" s="3" t="n"/>
      <c r="K133" s="3" t="n"/>
      <c r="L133" s="3" t="n"/>
      <c r="M133" s="3">
        <f>F133*(1-G133/100)-2.8</f>
        <v/>
      </c>
      <c r="N133" s="3">
        <f>M133*E133</f>
        <v/>
      </c>
    </row>
    <row r="134" ht="18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>
        <f>E134*F134*(1-G134/100)*(1+H134/100)</f>
        <v/>
      </c>
      <c r="J134" s="4" t="n"/>
      <c r="K134" s="4" t="n"/>
      <c r="L134" s="4" t="n"/>
      <c r="M134" s="4">
        <f>F134*(1-G134/100)-2.8</f>
        <v/>
      </c>
      <c r="N134" s="4">
        <f>M134*E134</f>
        <v/>
      </c>
    </row>
    <row r="135" ht="18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>
        <f>E135*F135*(1-G135/100)*(1+H135/100)</f>
        <v/>
      </c>
      <c r="J135" s="3" t="n"/>
      <c r="K135" s="3" t="n"/>
      <c r="L135" s="3" t="n"/>
      <c r="M135" s="3">
        <f>F135*(1-G135/100)-2.8</f>
        <v/>
      </c>
      <c r="N135" s="3">
        <f>M135*E135</f>
        <v/>
      </c>
    </row>
    <row r="136" ht="18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>
        <f>E136*F136*(1-G136/100)*(1+H136/100)</f>
        <v/>
      </c>
      <c r="J136" s="4" t="n"/>
      <c r="K136" s="4" t="n"/>
      <c r="L136" s="4" t="n"/>
      <c r="M136" s="4">
        <f>F136*(1-G136/100)-2.8</f>
        <v/>
      </c>
      <c r="N136" s="4">
        <f>M136*E136</f>
        <v/>
      </c>
    </row>
    <row r="137" ht="18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>
        <f>E137*F137*(1-G137/100)*(1+H137/100)</f>
        <v/>
      </c>
      <c r="J137" s="3" t="n"/>
      <c r="K137" s="3" t="n"/>
      <c r="L137" s="3" t="n"/>
      <c r="M137" s="3">
        <f>F137*(1-G137/100)-2.8</f>
        <v/>
      </c>
      <c r="N137" s="3">
        <f>M137*E137</f>
        <v/>
      </c>
    </row>
    <row r="138" ht="18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>
        <f>E138*F138*(1-G138/100)*(1+H138/100)</f>
        <v/>
      </c>
      <c r="J138" s="4" t="n"/>
      <c r="K138" s="4" t="n"/>
      <c r="L138" s="4" t="n"/>
      <c r="M138" s="4">
        <f>F138*(1-G138/100)-2.8</f>
        <v/>
      </c>
      <c r="N138" s="4">
        <f>M138*E138</f>
        <v/>
      </c>
    </row>
    <row r="139" ht="18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>
        <f>E139*F139*(1-G139/100)*(1+H139/100)</f>
        <v/>
      </c>
      <c r="J139" s="3" t="n"/>
      <c r="K139" s="3" t="n"/>
      <c r="L139" s="3" t="n"/>
      <c r="M139" s="3">
        <f>F139*(1-G139/100)-2.8</f>
        <v/>
      </c>
      <c r="N139" s="3">
        <f>M139*E139</f>
        <v/>
      </c>
    </row>
    <row r="140" ht="18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>
        <f>E140*F140*(1-G140/100)*(1+H140/100)</f>
        <v/>
      </c>
      <c r="J140" s="4" t="n"/>
      <c r="K140" s="4" t="n"/>
      <c r="L140" s="4" t="n"/>
      <c r="M140" s="4">
        <f>F140*(1-G140/100)-2.8</f>
        <v/>
      </c>
      <c r="N140" s="4">
        <f>M140*E140</f>
        <v/>
      </c>
    </row>
    <row r="141" ht="18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>
        <f>E141*F141*(1-G141/100)*(1+H141/100)</f>
        <v/>
      </c>
      <c r="J141" s="3" t="n"/>
      <c r="K141" s="3" t="n"/>
      <c r="L141" s="3" t="n"/>
      <c r="M141" s="3">
        <f>F141*(1-G141/100)-2.8</f>
        <v/>
      </c>
      <c r="N141" s="3">
        <f>M141*E141</f>
        <v/>
      </c>
    </row>
    <row r="142" ht="18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>
        <f>E142*F142*(1-G142/100)*(1+H142/100)</f>
        <v/>
      </c>
      <c r="J142" s="4" t="n"/>
      <c r="K142" s="4" t="n"/>
      <c r="L142" s="4" t="n"/>
      <c r="M142" s="4">
        <f>F142*(1-G142/100)-2.8</f>
        <v/>
      </c>
      <c r="N142" s="4">
        <f>M142*E142</f>
        <v/>
      </c>
    </row>
    <row r="143" ht="18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>
        <f>E143*F143*(1-G143/100)*(1+H143/100)</f>
        <v/>
      </c>
      <c r="J143" s="3" t="n"/>
      <c r="K143" s="3" t="n"/>
      <c r="L143" s="3" t="n"/>
      <c r="M143" s="3">
        <f>F143*(1-G143/100)-2.8</f>
        <v/>
      </c>
      <c r="N143" s="3">
        <f>M143*E143</f>
        <v/>
      </c>
    </row>
    <row r="144" ht="18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>
        <f>E144*F144*(1-G144/100)*(1+H144/100)</f>
        <v/>
      </c>
      <c r="J144" s="4" t="n"/>
      <c r="K144" s="4" t="n"/>
      <c r="L144" s="4" t="n"/>
      <c r="M144" s="4">
        <f>F144*(1-G144/100)-2.8</f>
        <v/>
      </c>
      <c r="N144" s="4">
        <f>M144*E144</f>
        <v/>
      </c>
    </row>
    <row r="145" ht="18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>
        <f>E145*F145*(1-G145/100)*(1+H145/100)</f>
        <v/>
      </c>
      <c r="J145" s="3" t="n"/>
      <c r="K145" s="3" t="n"/>
      <c r="L145" s="3" t="n"/>
      <c r="M145" s="3">
        <f>F145*(1-G145/100)-2.8</f>
        <v/>
      </c>
      <c r="N145" s="3">
        <f>M145*E145</f>
        <v/>
      </c>
    </row>
    <row r="146" ht="18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>
        <f>E146*F146*(1-G146/100)*(1+H146/100)</f>
        <v/>
      </c>
      <c r="J146" s="4" t="n"/>
      <c r="K146" s="4" t="n"/>
      <c r="L146" s="4" t="n"/>
      <c r="M146" s="4">
        <f>F146*(1-G146/100)-2.8</f>
        <v/>
      </c>
      <c r="N146" s="4">
        <f>M146*E146</f>
        <v/>
      </c>
    </row>
    <row r="147" ht="18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>
        <f>E147*F147*(1-G147/100)*(1+H147/100)</f>
        <v/>
      </c>
      <c r="J147" s="3" t="n"/>
      <c r="K147" s="3" t="n"/>
      <c r="L147" s="3" t="n"/>
      <c r="M147" s="3">
        <f>F147*(1-G147/100)-2.8</f>
        <v/>
      </c>
      <c r="N147" s="3">
        <f>M147*E147</f>
        <v/>
      </c>
    </row>
    <row r="148" ht="18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>
        <f>E148*F148*(1-G148/100)*(1+H148/100)</f>
        <v/>
      </c>
      <c r="J148" s="4" t="n"/>
      <c r="K148" s="4" t="n"/>
      <c r="L148" s="4" t="n"/>
      <c r="M148" s="4">
        <f>F148*(1-G148/100)-2.8</f>
        <v/>
      </c>
      <c r="N148" s="4">
        <f>M148*E148</f>
        <v/>
      </c>
    </row>
    <row r="149" ht="18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>
        <f>E149*F149*(1-G149/100)*(1+H149/100)</f>
        <v/>
      </c>
      <c r="J149" s="3" t="n"/>
      <c r="K149" s="3" t="n"/>
      <c r="L149" s="3" t="n"/>
      <c r="M149" s="3">
        <f>F149*(1-G149/100)-2.8</f>
        <v/>
      </c>
      <c r="N149" s="3">
        <f>M149*E149</f>
        <v/>
      </c>
    </row>
    <row r="150" ht="18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>
        <f>E150*F150*(1-G150/100)*(1+H150/100)</f>
        <v/>
      </c>
      <c r="J150" s="4" t="n"/>
      <c r="K150" s="4" t="n"/>
      <c r="L150" s="4" t="n"/>
      <c r="M150" s="4">
        <f>F150*(1-G150/100)-2.8</f>
        <v/>
      </c>
      <c r="N150" s="4">
        <f>M150*E150</f>
        <v/>
      </c>
    </row>
    <row r="151" ht="18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>
        <f>E151*F151*(1-G151/100)*(1+H151/100)</f>
        <v/>
      </c>
      <c r="J151" s="3" t="n"/>
      <c r="K151" s="3" t="n"/>
      <c r="L151" s="3" t="n"/>
      <c r="M151" s="3">
        <f>F151*(1-G151/100)-2.8</f>
        <v/>
      </c>
      <c r="N151" s="3">
        <f>M151*E151</f>
        <v/>
      </c>
    </row>
    <row r="152" ht="18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>
        <f>E152*F152*(1-G152/100)*(1+H152/100)</f>
        <v/>
      </c>
      <c r="J152" s="4" t="n"/>
      <c r="K152" s="4" t="n"/>
      <c r="L152" s="4" t="n"/>
      <c r="M152" s="4">
        <f>F152*(1-G152/100)-2.8</f>
        <v/>
      </c>
      <c r="N152" s="4">
        <f>M152*E152</f>
        <v/>
      </c>
    </row>
    <row r="153" ht="18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>
        <f>E153*F153*(1-G153/100)*(1+H153/100)</f>
        <v/>
      </c>
      <c r="J153" s="3" t="n"/>
      <c r="K153" s="3" t="n"/>
      <c r="L153" s="3" t="n"/>
      <c r="M153" s="3">
        <f>F153*(1-G153/100)-2.8</f>
        <v/>
      </c>
      <c r="N153" s="3">
        <f>M153*E153</f>
        <v/>
      </c>
    </row>
    <row r="154" ht="18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>
        <f>E154*F154*(1-G154/100)*(1+H154/100)</f>
        <v/>
      </c>
      <c r="J154" s="4" t="n"/>
      <c r="K154" s="4" t="n"/>
      <c r="L154" s="4" t="n"/>
      <c r="M154" s="4">
        <f>F154*(1-G154/100)-2.8</f>
        <v/>
      </c>
      <c r="N154" s="4">
        <f>M154*E154</f>
        <v/>
      </c>
    </row>
    <row r="155" ht="18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>
        <f>E155*F155*(1-G155/100)*(1+H155/100)</f>
        <v/>
      </c>
      <c r="J155" s="3" t="n"/>
      <c r="K155" s="3" t="n"/>
      <c r="L155" s="3" t="n"/>
      <c r="M155" s="3">
        <f>F155*(1-G155/100)-2.8</f>
        <v/>
      </c>
      <c r="N155" s="3">
        <f>M155*E155</f>
        <v/>
      </c>
    </row>
    <row r="156" ht="18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>
        <f>E156*F156*(1-G156/100)*(1+H156/100)</f>
        <v/>
      </c>
      <c r="J156" s="4" t="n"/>
      <c r="K156" s="4" t="n"/>
      <c r="L156" s="4" t="n"/>
      <c r="M156" s="4">
        <f>F156*(1-G156/100)-2.8</f>
        <v/>
      </c>
      <c r="N156" s="4">
        <f>M156*E156</f>
        <v/>
      </c>
    </row>
    <row r="157" ht="18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>
        <f>E157*F157*(1-G157/100)*(1+H157/100)</f>
        <v/>
      </c>
      <c r="J157" s="3" t="n"/>
      <c r="K157" s="3" t="n"/>
      <c r="L157" s="3" t="n"/>
      <c r="M157" s="3">
        <f>F157*(1-G157/100)-2.8</f>
        <v/>
      </c>
      <c r="N157" s="3">
        <f>M157*E157</f>
        <v/>
      </c>
    </row>
    <row r="158" ht="18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>
        <f>E158*F158*(1-G158/100)*(1+H158/100)</f>
        <v/>
      </c>
      <c r="J158" s="4" t="n"/>
      <c r="K158" s="4" t="n"/>
      <c r="L158" s="4" t="n"/>
      <c r="M158" s="4">
        <f>F158*(1-G158/100)-2.8</f>
        <v/>
      </c>
      <c r="N158" s="4">
        <f>M158*E158</f>
        <v/>
      </c>
    </row>
    <row r="159" ht="18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>
        <f>E159*F159*(1-G159/100)*(1+H159/100)</f>
        <v/>
      </c>
      <c r="J159" s="3" t="n"/>
      <c r="K159" s="3" t="n"/>
      <c r="L159" s="3" t="n"/>
      <c r="M159" s="3">
        <f>F159*(1-G159/100)-2.8</f>
        <v/>
      </c>
      <c r="N159" s="3">
        <f>M159*E159</f>
        <v/>
      </c>
    </row>
    <row r="160" ht="18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>
        <f>E160*F160*(1-G160/100)*(1+H160/100)</f>
        <v/>
      </c>
      <c r="J160" s="4" t="n"/>
      <c r="K160" s="4" t="n"/>
      <c r="L160" s="4" t="n"/>
      <c r="M160" s="4">
        <f>F160*(1-G160/100)-2.8</f>
        <v/>
      </c>
      <c r="N160" s="4">
        <f>M160*E160</f>
        <v/>
      </c>
    </row>
    <row r="161" ht="18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>
        <f>E161*F161*(1-G161/100)*(1+H161/100)</f>
        <v/>
      </c>
      <c r="J161" s="3" t="n"/>
      <c r="K161" s="3" t="n"/>
      <c r="L161" s="3" t="n"/>
      <c r="M161" s="3">
        <f>F161*(1-G161/100)-2.8</f>
        <v/>
      </c>
      <c r="N161" s="3">
        <f>M161*E161</f>
        <v/>
      </c>
    </row>
    <row r="162" ht="18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>
        <f>E162*F162*(1-G162/100)*(1+H162/100)</f>
        <v/>
      </c>
      <c r="J162" s="4" t="n"/>
      <c r="K162" s="4" t="n"/>
      <c r="L162" s="4" t="n"/>
      <c r="M162" s="4">
        <f>F162*(1-G162/100)-2.8</f>
        <v/>
      </c>
      <c r="N162" s="4">
        <f>M162*E162</f>
        <v/>
      </c>
    </row>
    <row r="163" ht="18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>
        <f>E163*F163*(1-G163/100)*(1+H163/100)</f>
        <v/>
      </c>
      <c r="J163" s="3" t="n"/>
      <c r="K163" s="3" t="n"/>
      <c r="L163" s="3" t="n"/>
      <c r="M163" s="3">
        <f>F163*(1-G163/100)-2.8</f>
        <v/>
      </c>
      <c r="N163" s="3">
        <f>M163*E163</f>
        <v/>
      </c>
    </row>
    <row r="164" ht="18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>
        <f>E164*F164*(1-G164/100)*(1+H164/100)</f>
        <v/>
      </c>
      <c r="J164" s="4" t="n"/>
      <c r="K164" s="4" t="n"/>
      <c r="L164" s="4" t="n"/>
      <c r="M164" s="4">
        <f>F164*(1-G164/100)-2.8</f>
        <v/>
      </c>
      <c r="N164" s="4">
        <f>M164*E164</f>
        <v/>
      </c>
    </row>
    <row r="165" ht="18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>
        <f>E165*F165*(1-G165/100)*(1+H165/100)</f>
        <v/>
      </c>
      <c r="J165" s="3" t="n"/>
      <c r="K165" s="3" t="n"/>
      <c r="L165" s="3" t="n"/>
      <c r="M165" s="3">
        <f>F165*(1-G165/100)-2.8</f>
        <v/>
      </c>
      <c r="N165" s="3">
        <f>M165*E165</f>
        <v/>
      </c>
    </row>
    <row r="166" ht="18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>
        <f>E166*F166*(1-G166/100)*(1+H166/100)</f>
        <v/>
      </c>
      <c r="J166" s="4" t="n"/>
      <c r="K166" s="4" t="n"/>
      <c r="L166" s="4" t="n"/>
      <c r="M166" s="4">
        <f>F166*(1-G166/100)-2.8</f>
        <v/>
      </c>
      <c r="N166" s="4">
        <f>M166*E166</f>
        <v/>
      </c>
    </row>
    <row r="167" ht="18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>
        <f>E167*F167*(1-G167/100)*(1+H167/100)</f>
        <v/>
      </c>
      <c r="J167" s="3" t="n"/>
      <c r="K167" s="3" t="n"/>
      <c r="L167" s="3" t="n"/>
      <c r="M167" s="3">
        <f>F167*(1-G167/100)-2.8</f>
        <v/>
      </c>
      <c r="N167" s="3">
        <f>M167*E167</f>
        <v/>
      </c>
    </row>
    <row r="168" ht="18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>
        <f>E168*F168*(1-G168/100)*(1+H168/100)</f>
        <v/>
      </c>
      <c r="J168" s="4" t="n"/>
      <c r="K168" s="4" t="n"/>
      <c r="L168" s="4" t="n"/>
      <c r="M168" s="4">
        <f>F168*(1-G168/100)-2.8</f>
        <v/>
      </c>
      <c r="N168" s="4">
        <f>M168*E168</f>
        <v/>
      </c>
    </row>
    <row r="169" ht="18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>
        <f>E169*F169*(1-G169/100)*(1+H169/100)</f>
        <v/>
      </c>
      <c r="J169" s="3" t="n"/>
      <c r="K169" s="3" t="n"/>
      <c r="L169" s="3" t="n"/>
      <c r="M169" s="3">
        <f>F169*(1-G169/100)-2.8</f>
        <v/>
      </c>
      <c r="N169" s="3">
        <f>M169*E169</f>
        <v/>
      </c>
    </row>
    <row r="170" ht="18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>
        <f>E170*F170*(1-G170/100)*(1+H170/100)</f>
        <v/>
      </c>
      <c r="J170" s="4" t="n"/>
      <c r="K170" s="4" t="n"/>
      <c r="L170" s="4" t="n"/>
      <c r="M170" s="4">
        <f>F170*(1-G170/100)-2.8</f>
        <v/>
      </c>
      <c r="N170" s="4">
        <f>M170*E170</f>
        <v/>
      </c>
    </row>
    <row r="171" ht="18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>
        <f>E171*F171*(1-G171/100)*(1+H171/100)</f>
        <v/>
      </c>
      <c r="J171" s="3" t="n"/>
      <c r="K171" s="3" t="n"/>
      <c r="L171" s="3" t="n"/>
      <c r="M171" s="3">
        <f>F171*(1-G171/100)-2.8</f>
        <v/>
      </c>
      <c r="N171" s="3">
        <f>M171*E171</f>
        <v/>
      </c>
    </row>
    <row r="172" ht="18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>
        <f>E172*F172*(1-G172/100)*(1+H172/100)</f>
        <v/>
      </c>
      <c r="J172" s="4" t="n"/>
      <c r="K172" s="4" t="n"/>
      <c r="L172" s="4" t="n"/>
      <c r="M172" s="4">
        <f>F172*(1-G172/100)-2.8</f>
        <v/>
      </c>
      <c r="N172" s="4">
        <f>M172*E172</f>
        <v/>
      </c>
    </row>
    <row r="173" ht="18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>
        <f>E173*F173*(1-G173/100)*(1+H173/100)</f>
        <v/>
      </c>
      <c r="J173" s="3" t="n"/>
      <c r="K173" s="3" t="n"/>
      <c r="L173" s="3" t="n"/>
      <c r="M173" s="3">
        <f>F173*(1-G173/100)-2.8</f>
        <v/>
      </c>
      <c r="N173" s="3">
        <f>M173*E173</f>
        <v/>
      </c>
    </row>
    <row r="174" ht="18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>
        <f>E174*F174*(1-G174/100)*(1+H174/100)</f>
        <v/>
      </c>
      <c r="J174" s="4" t="n"/>
      <c r="K174" s="4" t="n"/>
      <c r="L174" s="4" t="n"/>
      <c r="M174" s="4">
        <f>F174*(1-G174/100)-2.8</f>
        <v/>
      </c>
      <c r="N174" s="4">
        <f>M174*E174</f>
        <v/>
      </c>
    </row>
    <row r="175" ht="18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>
        <f>E175*F175*(1-G175/100)*(1+H175/100)</f>
        <v/>
      </c>
      <c r="J175" s="3" t="n"/>
      <c r="K175" s="3" t="n"/>
      <c r="L175" s="3" t="n"/>
      <c r="M175" s="3">
        <f>F175*(1-G175/100)-2.8</f>
        <v/>
      </c>
      <c r="N175" s="3">
        <f>M175*E175</f>
        <v/>
      </c>
    </row>
    <row r="176" ht="18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>
        <f>E176*F176*(1-G176/100)*(1+H176/100)</f>
        <v/>
      </c>
      <c r="J176" s="4" t="n"/>
      <c r="K176" s="4" t="n"/>
      <c r="L176" s="4" t="n"/>
      <c r="M176" s="4">
        <f>F176*(1-G176/100)-2.8</f>
        <v/>
      </c>
      <c r="N176" s="4">
        <f>M176*E176</f>
        <v/>
      </c>
    </row>
    <row r="177" ht="18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>
        <f>E177*F177*(1-G177/100)*(1+H177/100)</f>
        <v/>
      </c>
      <c r="J177" s="3" t="n"/>
      <c r="K177" s="3" t="n"/>
      <c r="L177" s="3" t="n"/>
      <c r="M177" s="3">
        <f>F177*(1-G177/100)-2.8</f>
        <v/>
      </c>
      <c r="N177" s="3">
        <f>M177*E177</f>
        <v/>
      </c>
    </row>
    <row r="178" ht="18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>
        <f>E178*F178*(1-G178/100)*(1+H178/100)</f>
        <v/>
      </c>
      <c r="J178" s="4" t="n"/>
      <c r="K178" s="4" t="n"/>
      <c r="L178" s="4" t="n"/>
      <c r="M178" s="4">
        <f>F178*(1-G178/100)-2.8</f>
        <v/>
      </c>
      <c r="N178" s="4">
        <f>M178*E178</f>
        <v/>
      </c>
    </row>
    <row r="179" ht="18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>
        <f>E179*F179*(1-G179/100)*(1+H179/100)</f>
        <v/>
      </c>
      <c r="J179" s="3" t="n"/>
      <c r="K179" s="3" t="n"/>
      <c r="L179" s="3" t="n"/>
      <c r="M179" s="3">
        <f>F179*(1-G179/100)-2.8</f>
        <v/>
      </c>
      <c r="N179" s="3">
        <f>M179*E179</f>
        <v/>
      </c>
    </row>
    <row r="180" ht="18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>
        <f>E180*F180*(1-G180/100)*(1+H180/100)</f>
        <v/>
      </c>
      <c r="J180" s="4" t="n"/>
      <c r="K180" s="4" t="n"/>
      <c r="L180" s="4" t="n"/>
      <c r="M180" s="4">
        <f>F180*(1-G180/100)-2.8</f>
        <v/>
      </c>
      <c r="N180" s="4">
        <f>M180*E180</f>
        <v/>
      </c>
    </row>
    <row r="181" ht="18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>
        <f>E181*F181*(1-G181/100)*(1+H181/100)</f>
        <v/>
      </c>
      <c r="J181" s="3" t="n"/>
      <c r="K181" s="3" t="n"/>
      <c r="L181" s="3" t="n"/>
      <c r="M181" s="3">
        <f>F181*(1-G181/100)-2.8</f>
        <v/>
      </c>
      <c r="N181" s="3">
        <f>M181*E181</f>
        <v/>
      </c>
    </row>
    <row r="182" ht="18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>
        <f>E182*F182*(1-G182/100)*(1+H182/100)</f>
        <v/>
      </c>
      <c r="J182" s="4" t="n"/>
      <c r="K182" s="4" t="n"/>
      <c r="L182" s="4" t="n"/>
      <c r="M182" s="4">
        <f>F182*(1-G182/100)-2.8</f>
        <v/>
      </c>
      <c r="N182" s="4">
        <f>M182*E182</f>
        <v/>
      </c>
    </row>
    <row r="183" ht="18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>
        <f>E183*F183*(1-G183/100)*(1+H183/100)</f>
        <v/>
      </c>
      <c r="J183" s="3" t="n"/>
      <c r="K183" s="3" t="n"/>
      <c r="L183" s="3" t="n"/>
      <c r="M183" s="3">
        <f>F183*(1-G183/100)-2.8</f>
        <v/>
      </c>
      <c r="N183" s="3">
        <f>M183*E183</f>
        <v/>
      </c>
    </row>
    <row r="184" ht="18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>
        <f>E184*F184*(1-G184/100)*(1+H184/100)</f>
        <v/>
      </c>
      <c r="J184" s="4" t="n"/>
      <c r="K184" s="4" t="n"/>
      <c r="L184" s="4" t="n"/>
      <c r="M184" s="4">
        <f>F184*(1-G184/100)-2.8</f>
        <v/>
      </c>
      <c r="N184" s="4">
        <f>M184*E184</f>
        <v/>
      </c>
    </row>
    <row r="185" ht="18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>
        <f>E185*F185*(1-G185/100)*(1+H185/100)</f>
        <v/>
      </c>
      <c r="J185" s="3" t="n"/>
      <c r="K185" s="3" t="n"/>
      <c r="L185" s="3" t="n"/>
      <c r="M185" s="3">
        <f>F185*(1-G185/100)-2.8</f>
        <v/>
      </c>
      <c r="N185" s="3">
        <f>M185*E185</f>
        <v/>
      </c>
    </row>
    <row r="186" ht="18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>
        <f>E186*F186*(1-G186/100)*(1+H186/100)</f>
        <v/>
      </c>
      <c r="J186" s="4" t="n"/>
      <c r="K186" s="4" t="n"/>
      <c r="L186" s="4" t="n"/>
      <c r="M186" s="4">
        <f>F186*(1-G186/100)-2.8</f>
        <v/>
      </c>
      <c r="N186" s="4">
        <f>M186*E186</f>
        <v/>
      </c>
    </row>
    <row r="187" ht="18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>
        <f>E187*F187*(1-G187/100)*(1+H187/100)</f>
        <v/>
      </c>
      <c r="J187" s="3" t="n"/>
      <c r="K187" s="3" t="n"/>
      <c r="L187" s="3" t="n"/>
      <c r="M187" s="3">
        <f>F187*(1-G187/100)-2.8</f>
        <v/>
      </c>
      <c r="N187" s="3">
        <f>M187*E187</f>
        <v/>
      </c>
    </row>
    <row r="188" ht="18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>
        <f>E188*F188*(1-G188/100)*(1+H188/100)</f>
        <v/>
      </c>
      <c r="J188" s="4" t="n"/>
      <c r="K188" s="4" t="n"/>
      <c r="L188" s="4" t="n"/>
      <c r="M188" s="4">
        <f>F188*(1-G188/100)-2.8</f>
        <v/>
      </c>
      <c r="N188" s="4">
        <f>M188*E188</f>
        <v/>
      </c>
    </row>
    <row r="189" ht="18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>
        <f>E189*F189*(1-G189/100)*(1+H189/100)</f>
        <v/>
      </c>
      <c r="J189" s="3" t="n"/>
      <c r="K189" s="3" t="n"/>
      <c r="L189" s="3" t="n"/>
      <c r="M189" s="3">
        <f>F189*(1-G189/100)-2.8</f>
        <v/>
      </c>
      <c r="N189" s="3">
        <f>M189*E189</f>
        <v/>
      </c>
    </row>
    <row r="190" ht="18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>
        <f>E190*F190*(1-G190/100)*(1+H190/100)</f>
        <v/>
      </c>
      <c r="J190" s="4" t="n"/>
      <c r="K190" s="4" t="n"/>
      <c r="L190" s="4" t="n"/>
      <c r="M190" s="4">
        <f>F190*(1-G190/100)-2.8</f>
        <v/>
      </c>
      <c r="N190" s="4">
        <f>M190*E190</f>
        <v/>
      </c>
    </row>
    <row r="191" ht="18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>
        <f>E191*F191*(1-G191/100)*(1+H191/100)</f>
        <v/>
      </c>
      <c r="J191" s="3" t="n"/>
      <c r="K191" s="3" t="n"/>
      <c r="L191" s="3" t="n"/>
      <c r="M191" s="3">
        <f>F191*(1-G191/100)-2.8</f>
        <v/>
      </c>
      <c r="N191" s="3">
        <f>M191*E191</f>
        <v/>
      </c>
    </row>
    <row r="192" ht="18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>
        <f>E192*F192*(1-G192/100)*(1+H192/100)</f>
        <v/>
      </c>
      <c r="J192" s="4" t="n"/>
      <c r="K192" s="4" t="n"/>
      <c r="L192" s="4" t="n"/>
      <c r="M192" s="4">
        <f>F192*(1-G192/100)-2.8</f>
        <v/>
      </c>
      <c r="N192" s="4">
        <f>M192*E192</f>
        <v/>
      </c>
    </row>
    <row r="193" ht="18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>
        <f>E193*F193*(1-G193/100)*(1+H193/100)</f>
        <v/>
      </c>
      <c r="J193" s="3" t="n"/>
      <c r="K193" s="3" t="n"/>
      <c r="L193" s="3" t="n"/>
      <c r="M193" s="3">
        <f>F193*(1-G193/100)-2.8</f>
        <v/>
      </c>
      <c r="N193" s="3">
        <f>M193*E193</f>
        <v/>
      </c>
    </row>
    <row r="194" ht="18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>
        <f>E194*F194*(1-G194/100)*(1+H194/100)</f>
        <v/>
      </c>
      <c r="J194" s="4" t="n"/>
      <c r="K194" s="4" t="n"/>
      <c r="L194" s="4" t="n"/>
      <c r="M194" s="4">
        <f>F194*(1-G194/100)-2.8</f>
        <v/>
      </c>
      <c r="N194" s="4">
        <f>M194*E194</f>
        <v/>
      </c>
    </row>
    <row r="195" ht="18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>
        <f>E195*F195*(1-G195/100)*(1+H195/100)</f>
        <v/>
      </c>
      <c r="J195" s="3" t="n"/>
      <c r="K195" s="3" t="n"/>
      <c r="L195" s="3" t="n"/>
      <c r="M195" s="3">
        <f>F195*(1-G195/100)-2.8</f>
        <v/>
      </c>
      <c r="N195" s="3">
        <f>M195*E195</f>
        <v/>
      </c>
    </row>
    <row r="196" ht="18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>
        <f>E196*F196*(1-G196/100)*(1+H196/100)</f>
        <v/>
      </c>
      <c r="J196" s="4" t="n"/>
      <c r="K196" s="4" t="n"/>
      <c r="L196" s="4" t="n"/>
      <c r="M196" s="4">
        <f>F196*(1-G196/100)-2.8</f>
        <v/>
      </c>
      <c r="N196" s="4">
        <f>M196*E196</f>
        <v/>
      </c>
    </row>
    <row r="197" ht="18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>
        <f>E197*F197*(1-G197/100)*(1+H197/100)</f>
        <v/>
      </c>
      <c r="J197" s="3" t="n"/>
      <c r="K197" s="3" t="n"/>
      <c r="L197" s="3" t="n"/>
      <c r="M197" s="3">
        <f>F197*(1-G197/100)-2.8</f>
        <v/>
      </c>
      <c r="N197" s="3">
        <f>M197*E197</f>
        <v/>
      </c>
    </row>
    <row r="198" ht="18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>
        <f>E198*F198*(1-G198/100)*(1+H198/100)</f>
        <v/>
      </c>
      <c r="J198" s="4" t="n"/>
      <c r="K198" s="4" t="n"/>
      <c r="L198" s="4" t="n"/>
      <c r="M198" s="4">
        <f>F198*(1-G198/100)-2.8</f>
        <v/>
      </c>
      <c r="N198" s="4">
        <f>M198*E198</f>
        <v/>
      </c>
    </row>
    <row r="199" ht="18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>
        <f>E199*F199*(1-G199/100)*(1+H199/100)</f>
        <v/>
      </c>
      <c r="J199" s="3" t="n"/>
      <c r="K199" s="3" t="n"/>
      <c r="L199" s="3" t="n"/>
      <c r="M199" s="3">
        <f>F199*(1-G199/100)-2.8</f>
        <v/>
      </c>
      <c r="N199" s="3">
        <f>M199*E199</f>
        <v/>
      </c>
    </row>
    <row r="200" ht="18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>
        <f>E200*F200*(1-G200/100)*(1+H200/100)</f>
        <v/>
      </c>
      <c r="J200" s="4" t="n"/>
      <c r="K200" s="4" t="n"/>
      <c r="L200" s="4" t="n"/>
      <c r="M200" s="4">
        <f>F200*(1-G200/100)-2.8</f>
        <v/>
      </c>
      <c r="N200" s="4">
        <f>M200*E200</f>
        <v/>
      </c>
    </row>
    <row r="201" ht="18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>
        <f>E201*F201*(1-G201/100)*(1+H201/100)</f>
        <v/>
      </c>
      <c r="J201" s="3" t="n"/>
      <c r="K201" s="3" t="n"/>
      <c r="L201" s="3" t="n"/>
      <c r="M201" s="3">
        <f>F201*(1-G201/100)-2.8</f>
        <v/>
      </c>
      <c r="N201" s="3">
        <f>M201*E201</f>
        <v/>
      </c>
    </row>
    <row r="202" ht="18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>
        <f>E202*F202*(1-G202/100)*(1+H202/100)</f>
        <v/>
      </c>
      <c r="J202" s="4" t="n"/>
      <c r="K202" s="4" t="n"/>
      <c r="L202" s="4" t="n"/>
      <c r="M202" s="4">
        <f>F202*(1-G202/100)-2.8</f>
        <v/>
      </c>
      <c r="N202" s="4">
        <f>M202*E202</f>
        <v/>
      </c>
    </row>
    <row r="203" ht="18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>
        <f>E203*F203*(1-G203/100)*(1+H203/100)</f>
        <v/>
      </c>
      <c r="J203" s="3" t="n"/>
      <c r="K203" s="3" t="n"/>
      <c r="L203" s="3" t="n"/>
      <c r="M203" s="3">
        <f>F203*(1-G203/100)-2.8</f>
        <v/>
      </c>
      <c r="N203" s="3">
        <f>M203*E203</f>
        <v/>
      </c>
    </row>
    <row r="204" ht="18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>
        <f>E204*F204*(1-G204/100)*(1+H204/100)</f>
        <v/>
      </c>
      <c r="J204" s="4" t="n"/>
      <c r="K204" s="4" t="n"/>
      <c r="L204" s="4" t="n"/>
      <c r="M204" s="4">
        <f>F204*(1-G204/100)-2.8</f>
        <v/>
      </c>
      <c r="N204" s="4">
        <f>M204*E204</f>
        <v/>
      </c>
    </row>
    <row r="205" ht="18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>
        <f>E205*F205*(1-G205/100)*(1+H205/100)</f>
        <v/>
      </c>
      <c r="J205" s="3" t="n"/>
      <c r="K205" s="3" t="n"/>
      <c r="L205" s="3" t="n"/>
      <c r="M205" s="3">
        <f>F205*(1-G205/100)-2.8</f>
        <v/>
      </c>
      <c r="N205" s="3">
        <f>M205*E205</f>
        <v/>
      </c>
    </row>
    <row r="206" ht="18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>
        <f>E206*F206*(1-G206/100)*(1+H206/100)</f>
        <v/>
      </c>
      <c r="J206" s="4" t="n"/>
      <c r="K206" s="4" t="n"/>
      <c r="L206" s="4" t="n"/>
      <c r="M206" s="4">
        <f>F206*(1-G206/100)-2.8</f>
        <v/>
      </c>
      <c r="N206" s="4">
        <f>M206*E206</f>
        <v/>
      </c>
    </row>
    <row r="207" ht="18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>
        <f>E207*F207*(1-G207/100)*(1+H207/100)</f>
        <v/>
      </c>
      <c r="J207" s="3" t="n"/>
      <c r="K207" s="3" t="n"/>
      <c r="L207" s="3" t="n"/>
      <c r="M207" s="3">
        <f>F207*(1-G207/100)-2.8</f>
        <v/>
      </c>
      <c r="N207" s="3">
        <f>M207*E207</f>
        <v/>
      </c>
    </row>
    <row r="208" ht="18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>
        <f>E208*F208*(1-G208/100)*(1+H208/100)</f>
        <v/>
      </c>
      <c r="J208" s="4" t="n"/>
      <c r="K208" s="4" t="n"/>
      <c r="L208" s="4" t="n"/>
      <c r="M208" s="4">
        <f>F208*(1-G208/100)-2.8</f>
        <v/>
      </c>
      <c r="N208" s="4">
        <f>M208*E208</f>
        <v/>
      </c>
    </row>
    <row r="209" ht="18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>
        <f>E209*F209*(1-G209/100)*(1+H209/100)</f>
        <v/>
      </c>
      <c r="J209" s="3" t="n"/>
      <c r="K209" s="3" t="n"/>
      <c r="L209" s="3" t="n"/>
      <c r="M209" s="3">
        <f>F209*(1-G209/100)-2.8</f>
        <v/>
      </c>
      <c r="N209" s="3">
        <f>M209*E209</f>
        <v/>
      </c>
    </row>
    <row r="210" ht="18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>
        <f>E210*F210*(1-G210/100)*(1+H210/100)</f>
        <v/>
      </c>
      <c r="J210" s="4" t="n"/>
      <c r="K210" s="4" t="n"/>
      <c r="L210" s="4" t="n"/>
      <c r="M210" s="4">
        <f>F210*(1-G210/100)-2.8</f>
        <v/>
      </c>
      <c r="N210" s="4">
        <f>M210*E210</f>
        <v/>
      </c>
    </row>
    <row r="211" ht="18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>
        <f>E211*F211*(1-G211/100)*(1+H211/100)</f>
        <v/>
      </c>
      <c r="J211" s="3" t="n"/>
      <c r="K211" s="3" t="n"/>
      <c r="L211" s="3" t="n"/>
      <c r="M211" s="3">
        <f>F211*(1-G211/100)-2.8</f>
        <v/>
      </c>
      <c r="N211" s="3">
        <f>M211*E211</f>
        <v/>
      </c>
    </row>
    <row r="212" ht="18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>
        <f>E212*F212*(1-G212/100)*(1+H212/100)</f>
        <v/>
      </c>
      <c r="J212" s="4" t="n"/>
      <c r="K212" s="4" t="n"/>
      <c r="L212" s="4" t="n"/>
      <c r="M212" s="4">
        <f>F212*(1-G212/100)-2.8</f>
        <v/>
      </c>
      <c r="N212" s="4">
        <f>M212*E212</f>
        <v/>
      </c>
    </row>
    <row r="213" ht="18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>
        <f>E213*F213*(1-G213/100)*(1+H213/100)</f>
        <v/>
      </c>
      <c r="J213" s="3" t="n"/>
      <c r="K213" s="3" t="n"/>
      <c r="L213" s="3" t="n"/>
      <c r="M213" s="3">
        <f>F213*(1-G213/100)-2.8</f>
        <v/>
      </c>
      <c r="N213" s="3">
        <f>M213*E213</f>
        <v/>
      </c>
    </row>
    <row r="214" ht="18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>
        <f>E214*F214*(1-G214/100)*(1+H214/100)</f>
        <v/>
      </c>
      <c r="J214" s="4" t="n"/>
      <c r="K214" s="4" t="n"/>
      <c r="L214" s="4" t="n"/>
      <c r="M214" s="4">
        <f>F214*(1-G214/100)-2.8</f>
        <v/>
      </c>
      <c r="N214" s="4">
        <f>M214*E214</f>
        <v/>
      </c>
    </row>
    <row r="215" ht="18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>
        <f>E215*F215*(1-G215/100)*(1+H215/100)</f>
        <v/>
      </c>
      <c r="J215" s="3" t="n"/>
      <c r="K215" s="3" t="n"/>
      <c r="L215" s="3" t="n"/>
      <c r="M215" s="3">
        <f>F215*(1-G215/100)-2.8</f>
        <v/>
      </c>
      <c r="N215" s="3">
        <f>M215*E215</f>
        <v/>
      </c>
    </row>
    <row r="216" ht="18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>
        <f>E216*F216*(1-G216/100)*(1+H216/100)</f>
        <v/>
      </c>
      <c r="J216" s="4" t="n"/>
      <c r="K216" s="4" t="n"/>
      <c r="L216" s="4" t="n"/>
      <c r="M216" s="4">
        <f>F216*(1-G216/100)-2.8</f>
        <v/>
      </c>
      <c r="N216" s="4">
        <f>M216*E216</f>
        <v/>
      </c>
    </row>
    <row r="217" ht="18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>
        <f>E217*F217*(1-G217/100)*(1+H217/100)</f>
        <v/>
      </c>
      <c r="J217" s="3" t="n"/>
      <c r="K217" s="3" t="n"/>
      <c r="L217" s="3" t="n"/>
      <c r="M217" s="3">
        <f>F217*(1-G217/100)-2.8</f>
        <v/>
      </c>
      <c r="N217" s="3">
        <f>M217*E217</f>
        <v/>
      </c>
    </row>
    <row r="218" ht="18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>
        <f>E218*F218*(1-G218/100)*(1+H218/100)</f>
        <v/>
      </c>
      <c r="J218" s="4" t="n"/>
      <c r="K218" s="4" t="n"/>
      <c r="L218" s="4" t="n"/>
      <c r="M218" s="4">
        <f>F218*(1-G218/100)-2.8</f>
        <v/>
      </c>
      <c r="N218" s="4">
        <f>M218*E218</f>
        <v/>
      </c>
    </row>
    <row r="219" ht="18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>
        <f>E219*F219*(1-G219/100)*(1+H219/100)</f>
        <v/>
      </c>
      <c r="J219" s="3" t="n"/>
      <c r="K219" s="3" t="n"/>
      <c r="L219" s="3" t="n"/>
      <c r="M219" s="3">
        <f>F219*(1-G219/100)-2.8</f>
        <v/>
      </c>
      <c r="N219" s="3">
        <f>M219*E219</f>
        <v/>
      </c>
    </row>
    <row r="220" ht="18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>
        <f>E220*F220*(1-G220/100)*(1+H220/100)</f>
        <v/>
      </c>
      <c r="J220" s="4" t="n"/>
      <c r="K220" s="4" t="n"/>
      <c r="L220" s="4" t="n"/>
      <c r="M220" s="4">
        <f>F220*(1-G220/100)-2.8</f>
        <v/>
      </c>
      <c r="N220" s="4">
        <f>M220*E220</f>
        <v/>
      </c>
    </row>
    <row r="221" ht="18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>
        <f>E221*F221*(1-G221/100)*(1+H221/100)</f>
        <v/>
      </c>
      <c r="J221" s="3" t="n"/>
      <c r="K221" s="3" t="n"/>
      <c r="L221" s="3" t="n"/>
      <c r="M221" s="3">
        <f>F221*(1-G221/100)-2.8</f>
        <v/>
      </c>
      <c r="N221" s="3">
        <f>M221*E221</f>
        <v/>
      </c>
    </row>
    <row r="222" ht="18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>
        <f>E222*F222*(1-G222/100)*(1+H222/100)</f>
        <v/>
      </c>
      <c r="J222" s="4" t="n"/>
      <c r="K222" s="4" t="n"/>
      <c r="L222" s="4" t="n"/>
      <c r="M222" s="4">
        <f>F222*(1-G222/100)-2.8</f>
        <v/>
      </c>
      <c r="N222" s="4">
        <f>M222*E222</f>
        <v/>
      </c>
    </row>
    <row r="223" ht="18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>
        <f>E223*F223*(1-G223/100)*(1+H223/100)</f>
        <v/>
      </c>
      <c r="J223" s="3" t="n"/>
      <c r="K223" s="3" t="n"/>
      <c r="L223" s="3" t="n"/>
      <c r="M223" s="3">
        <f>F223*(1-G223/100)-2.8</f>
        <v/>
      </c>
      <c r="N223" s="3">
        <f>M223*E223</f>
        <v/>
      </c>
    </row>
    <row r="224" ht="18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>
        <f>E224*F224*(1-G224/100)*(1+H224/100)</f>
        <v/>
      </c>
      <c r="J224" s="4" t="n"/>
      <c r="K224" s="4" t="n"/>
      <c r="L224" s="4" t="n"/>
      <c r="M224" s="4">
        <f>F224*(1-G224/100)-2.8</f>
        <v/>
      </c>
      <c r="N224" s="4">
        <f>M224*E224</f>
        <v/>
      </c>
    </row>
    <row r="225" ht="18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>
        <f>E225*F225*(1-G225/100)*(1+H225/100)</f>
        <v/>
      </c>
      <c r="J225" s="3" t="n"/>
      <c r="K225" s="3" t="n"/>
      <c r="L225" s="3" t="n"/>
      <c r="M225" s="3">
        <f>F225*(1-G225/100)-2.8</f>
        <v/>
      </c>
      <c r="N225" s="3">
        <f>M225*E225</f>
        <v/>
      </c>
    </row>
    <row r="226" ht="18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>
        <f>E226*F226*(1-G226/100)*(1+H226/100)</f>
        <v/>
      </c>
      <c r="J226" s="4" t="n"/>
      <c r="K226" s="4" t="n"/>
      <c r="L226" s="4" t="n"/>
      <c r="M226" s="4">
        <f>F226*(1-G226/100)-2.8</f>
        <v/>
      </c>
      <c r="N226" s="4">
        <f>M226*E226</f>
        <v/>
      </c>
    </row>
    <row r="227" ht="18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>
        <f>E227*F227*(1-G227/100)*(1+H227/100)</f>
        <v/>
      </c>
      <c r="J227" s="3" t="n"/>
      <c r="K227" s="3" t="n"/>
      <c r="L227" s="3" t="n"/>
      <c r="M227" s="3">
        <f>F227*(1-G227/100)-2.8</f>
        <v/>
      </c>
      <c r="N227" s="3">
        <f>M227*E227</f>
        <v/>
      </c>
    </row>
    <row r="228" ht="18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>
        <f>E228*F228*(1-G228/100)*(1+H228/100)</f>
        <v/>
      </c>
      <c r="J228" s="4" t="n"/>
      <c r="K228" s="4" t="n"/>
      <c r="L228" s="4" t="n"/>
      <c r="M228" s="4">
        <f>F228*(1-G228/100)-2.8</f>
        <v/>
      </c>
      <c r="N228" s="4">
        <f>M228*E228</f>
        <v/>
      </c>
    </row>
    <row r="229" ht="18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>
        <f>E229*F229*(1-G229/100)*(1+H229/100)</f>
        <v/>
      </c>
      <c r="J229" s="3" t="n"/>
      <c r="K229" s="3" t="n"/>
      <c r="L229" s="3" t="n"/>
      <c r="M229" s="3">
        <f>F229*(1-G229/100)-2.8</f>
        <v/>
      </c>
      <c r="N229" s="3">
        <f>M229*E229</f>
        <v/>
      </c>
    </row>
    <row r="230" ht="18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>
        <f>E230*F230*(1-G230/100)*(1+H230/100)</f>
        <v/>
      </c>
      <c r="J230" s="4" t="n"/>
      <c r="K230" s="4" t="n"/>
      <c r="L230" s="4" t="n"/>
      <c r="M230" s="4">
        <f>F230*(1-G230/100)-2.8</f>
        <v/>
      </c>
      <c r="N230" s="4">
        <f>M230*E230</f>
        <v/>
      </c>
    </row>
    <row r="231" ht="18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>
        <f>E231*F231*(1-G231/100)*(1+H231/100)</f>
        <v/>
      </c>
      <c r="J231" s="3" t="n"/>
      <c r="K231" s="3" t="n"/>
      <c r="L231" s="3" t="n"/>
      <c r="M231" s="3">
        <f>F231*(1-G231/100)-2.8</f>
        <v/>
      </c>
      <c r="N231" s="3">
        <f>M231*E231</f>
        <v/>
      </c>
    </row>
    <row r="232" ht="18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>
        <f>E232*F232*(1-G232/100)*(1+H232/100)</f>
        <v/>
      </c>
      <c r="J232" s="4" t="n"/>
      <c r="K232" s="4" t="n"/>
      <c r="L232" s="4" t="n"/>
      <c r="M232" s="4">
        <f>F232*(1-G232/100)-2.8</f>
        <v/>
      </c>
      <c r="N232" s="4">
        <f>M232*E232</f>
        <v/>
      </c>
    </row>
    <row r="233" ht="18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>
        <f>E233*F233*(1-G233/100)*(1+H233/100)</f>
        <v/>
      </c>
      <c r="J233" s="3" t="n"/>
      <c r="K233" s="3" t="n"/>
      <c r="L233" s="3" t="n"/>
      <c r="M233" s="3">
        <f>F233*(1-G233/100)-2.8</f>
        <v/>
      </c>
      <c r="N233" s="3">
        <f>M233*E233</f>
        <v/>
      </c>
    </row>
    <row r="234" ht="18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>
        <f>E234*F234*(1-G234/100)*(1+H234/100)</f>
        <v/>
      </c>
      <c r="J234" s="4" t="n"/>
      <c r="K234" s="4" t="n"/>
      <c r="L234" s="4" t="n"/>
      <c r="M234" s="4">
        <f>F234*(1-G234/100)-2.8</f>
        <v/>
      </c>
      <c r="N234" s="4">
        <f>M234*E234</f>
        <v/>
      </c>
    </row>
    <row r="235" ht="18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>
        <f>E235*F235*(1-G235/100)*(1+H235/100)</f>
        <v/>
      </c>
      <c r="J235" s="3" t="n"/>
      <c r="K235" s="3" t="n"/>
      <c r="L235" s="3" t="n"/>
      <c r="M235" s="3">
        <f>F235*(1-G235/100)-2.8</f>
        <v/>
      </c>
      <c r="N235" s="3">
        <f>M235*E235</f>
        <v/>
      </c>
    </row>
    <row r="236" ht="18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>
        <f>E236*F236*(1-G236/100)*(1+H236/100)</f>
        <v/>
      </c>
      <c r="J236" s="4" t="n"/>
      <c r="K236" s="4" t="n"/>
      <c r="L236" s="4" t="n"/>
      <c r="M236" s="4">
        <f>F236*(1-G236/100)-2.8</f>
        <v/>
      </c>
      <c r="N236" s="4">
        <f>M236*E236</f>
        <v/>
      </c>
    </row>
    <row r="237" ht="18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>
        <f>E237*F237*(1-G237/100)*(1+H237/100)</f>
        <v/>
      </c>
      <c r="J237" s="3" t="n"/>
      <c r="K237" s="3" t="n"/>
      <c r="L237" s="3" t="n"/>
      <c r="M237" s="3">
        <f>F237*(1-G237/100)-2.8</f>
        <v/>
      </c>
      <c r="N237" s="3">
        <f>M237*E237</f>
        <v/>
      </c>
    </row>
    <row r="238" ht="18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>
        <f>E238*F238*(1-G238/100)*(1+H238/100)</f>
        <v/>
      </c>
      <c r="J238" s="4" t="n"/>
      <c r="K238" s="4" t="n"/>
      <c r="L238" s="4" t="n"/>
      <c r="M238" s="4">
        <f>F238*(1-G238/100)-2.8</f>
        <v/>
      </c>
      <c r="N238" s="4">
        <f>M238*E238</f>
        <v/>
      </c>
    </row>
    <row r="239" ht="18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>
        <f>E239*F239*(1-G239/100)*(1+H239/100)</f>
        <v/>
      </c>
      <c r="J239" s="3" t="n"/>
      <c r="K239" s="3" t="n"/>
      <c r="L239" s="3" t="n"/>
      <c r="M239" s="3">
        <f>F239*(1-G239/100)-2.8</f>
        <v/>
      </c>
      <c r="N239" s="3">
        <f>M239*E239</f>
        <v/>
      </c>
    </row>
    <row r="240" ht="18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>
        <f>E240*F240*(1-G240/100)*(1+H240/100)</f>
        <v/>
      </c>
      <c r="J240" s="4" t="n"/>
      <c r="K240" s="4" t="n"/>
      <c r="L240" s="4" t="n"/>
      <c r="M240" s="4">
        <f>F240*(1-G240/100)-2.8</f>
        <v/>
      </c>
      <c r="N240" s="4">
        <f>M240*E240</f>
        <v/>
      </c>
    </row>
    <row r="241" ht="18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>
        <f>E241*F241*(1-G241/100)*(1+H241/100)</f>
        <v/>
      </c>
      <c r="J241" s="3" t="n"/>
      <c r="K241" s="3" t="n"/>
      <c r="L241" s="3" t="n"/>
      <c r="M241" s="3">
        <f>F241*(1-G241/100)-2.8</f>
        <v/>
      </c>
      <c r="N241" s="3">
        <f>M241*E241</f>
        <v/>
      </c>
    </row>
    <row r="242" ht="18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>
        <f>E242*F242*(1-G242/100)*(1+H242/100)</f>
        <v/>
      </c>
      <c r="J242" s="4" t="n"/>
      <c r="K242" s="4" t="n"/>
      <c r="L242" s="4" t="n"/>
      <c r="M242" s="4">
        <f>F242*(1-G242/100)-2.8</f>
        <v/>
      </c>
      <c r="N242" s="4">
        <f>M242*E242</f>
        <v/>
      </c>
    </row>
    <row r="243" ht="18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>
        <f>E243*F243*(1-G243/100)*(1+H243/100)</f>
        <v/>
      </c>
      <c r="J243" s="3" t="n"/>
      <c r="K243" s="3" t="n"/>
      <c r="L243" s="3" t="n"/>
      <c r="M243" s="3">
        <f>F243*(1-G243/100)-2.8</f>
        <v/>
      </c>
      <c r="N243" s="3">
        <f>M243*E243</f>
        <v/>
      </c>
    </row>
    <row r="244" ht="18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>
        <f>E244*F244*(1-G244/100)*(1+H244/100)</f>
        <v/>
      </c>
      <c r="J244" s="4" t="n"/>
      <c r="K244" s="4" t="n"/>
      <c r="L244" s="4" t="n"/>
      <c r="M244" s="4">
        <f>F244*(1-G244/100)-2.8</f>
        <v/>
      </c>
      <c r="N244" s="4">
        <f>M244*E244</f>
        <v/>
      </c>
    </row>
    <row r="245" ht="18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>
        <f>E245*F245*(1-G245/100)*(1+H245/100)</f>
        <v/>
      </c>
      <c r="J245" s="3" t="n"/>
      <c r="K245" s="3" t="n"/>
      <c r="L245" s="3" t="n"/>
      <c r="M245" s="3">
        <f>F245*(1-G245/100)-2.8</f>
        <v/>
      </c>
      <c r="N245" s="3">
        <f>M245*E245</f>
        <v/>
      </c>
    </row>
    <row r="246" ht="18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>
        <f>E246*F246*(1-G246/100)*(1+H246/100)</f>
        <v/>
      </c>
      <c r="J246" s="4" t="n"/>
      <c r="K246" s="4" t="n"/>
      <c r="L246" s="4" t="n"/>
      <c r="M246" s="4">
        <f>F246*(1-G246/100)-2.8</f>
        <v/>
      </c>
      <c r="N246" s="4">
        <f>M246*E246</f>
        <v/>
      </c>
    </row>
    <row r="247" ht="18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>
        <f>E247*F247*(1-G247/100)*(1+H247/100)</f>
        <v/>
      </c>
      <c r="J247" s="3" t="n"/>
      <c r="K247" s="3" t="n"/>
      <c r="L247" s="3" t="n"/>
      <c r="M247" s="3">
        <f>F247*(1-G247/100)-2.8</f>
        <v/>
      </c>
      <c r="N247" s="3">
        <f>M247*E247</f>
        <v/>
      </c>
    </row>
    <row r="248" ht="18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>
        <f>E248*F248*(1-G248/100)*(1+H248/100)</f>
        <v/>
      </c>
      <c r="J248" s="4" t="n"/>
      <c r="K248" s="4" t="n"/>
      <c r="L248" s="4" t="n"/>
      <c r="M248" s="4">
        <f>F248*(1-G248/100)-2.8</f>
        <v/>
      </c>
      <c r="N248" s="4">
        <f>M248*E248</f>
        <v/>
      </c>
    </row>
    <row r="249" ht="18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>
        <f>E249*F249*(1-G249/100)*(1+H249/100)</f>
        <v/>
      </c>
      <c r="J249" s="3" t="n"/>
      <c r="K249" s="3" t="n"/>
      <c r="L249" s="3" t="n"/>
      <c r="M249" s="3">
        <f>F249*(1-G249/100)-2.8</f>
        <v/>
      </c>
      <c r="N249" s="3">
        <f>M249*E249</f>
        <v/>
      </c>
    </row>
    <row r="250" ht="18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>
        <f>E250*F250*(1-G250/100)*(1+H250/100)</f>
        <v/>
      </c>
      <c r="J250" s="4" t="n"/>
      <c r="K250" s="4" t="n"/>
      <c r="L250" s="4" t="n"/>
      <c r="M250" s="4">
        <f>F250*(1-G250/100)-2.8</f>
        <v/>
      </c>
      <c r="N250" s="4">
        <f>M250*E250</f>
        <v/>
      </c>
    </row>
    <row r="251" ht="18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>
        <f>E251*F251*(1-G251/100)*(1+H251/100)</f>
        <v/>
      </c>
      <c r="J251" s="3" t="n"/>
      <c r="K251" s="3" t="n"/>
      <c r="L251" s="3" t="n"/>
      <c r="M251" s="3">
        <f>F251*(1-G251/100)-2.8</f>
        <v/>
      </c>
      <c r="N251" s="3">
        <f>M251*E251</f>
        <v/>
      </c>
    </row>
    <row r="252" ht="18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>
        <f>E252*F252*(1-G252/100)*(1+H252/100)</f>
        <v/>
      </c>
      <c r="J252" s="4" t="n"/>
      <c r="K252" s="4" t="n"/>
      <c r="L252" s="4" t="n"/>
      <c r="M252" s="4">
        <f>F252*(1-G252/100)-2.8</f>
        <v/>
      </c>
      <c r="N252" s="4">
        <f>M252*E252</f>
        <v/>
      </c>
    </row>
    <row r="253" ht="18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>
        <f>E253*F253*(1-G253/100)*(1+H253/100)</f>
        <v/>
      </c>
      <c r="J253" s="3" t="n"/>
      <c r="K253" s="3" t="n"/>
      <c r="L253" s="3" t="n"/>
      <c r="M253" s="3">
        <f>F253*(1-G253/100)-2.8</f>
        <v/>
      </c>
      <c r="N253" s="3">
        <f>M253*E253</f>
        <v/>
      </c>
    </row>
    <row r="254" ht="18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>
        <f>E254*F254*(1-G254/100)*(1+H254/100)</f>
        <v/>
      </c>
      <c r="J254" s="4" t="n"/>
      <c r="K254" s="4" t="n"/>
      <c r="L254" s="4" t="n"/>
      <c r="M254" s="4">
        <f>F254*(1-G254/100)-2.8</f>
        <v/>
      </c>
      <c r="N254" s="4">
        <f>M254*E254</f>
        <v/>
      </c>
    </row>
    <row r="255" ht="18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>
        <f>E255*F255*(1-G255/100)*(1+H255/100)</f>
        <v/>
      </c>
      <c r="J255" s="3" t="n"/>
      <c r="K255" s="3" t="n"/>
      <c r="L255" s="3" t="n"/>
      <c r="M255" s="3">
        <f>F255*(1-G255/100)-2.8</f>
        <v/>
      </c>
      <c r="N255" s="3">
        <f>M255*E255</f>
        <v/>
      </c>
    </row>
    <row r="256" ht="18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>
        <f>E256*F256*(1-G256/100)*(1+H256/100)</f>
        <v/>
      </c>
      <c r="J256" s="4" t="n"/>
      <c r="K256" s="4" t="n"/>
      <c r="L256" s="4" t="n"/>
      <c r="M256" s="4">
        <f>F256*(1-G256/100)-2.8</f>
        <v/>
      </c>
      <c r="N256" s="4">
        <f>M256*E256</f>
        <v/>
      </c>
    </row>
    <row r="257" ht="18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>
        <f>E257*F257*(1-G257/100)*(1+H257/100)</f>
        <v/>
      </c>
      <c r="J257" s="3" t="n"/>
      <c r="K257" s="3" t="n"/>
      <c r="L257" s="3" t="n"/>
      <c r="M257" s="3">
        <f>F257*(1-G257/100)-2.8</f>
        <v/>
      </c>
      <c r="N257" s="3">
        <f>M257*E257</f>
        <v/>
      </c>
    </row>
    <row r="258" ht="18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>
        <f>E258*F258*(1-G258/100)*(1+H258/100)</f>
        <v/>
      </c>
      <c r="J258" s="4" t="n"/>
      <c r="K258" s="4" t="n"/>
      <c r="L258" s="4" t="n"/>
      <c r="M258" s="4">
        <f>F258*(1-G258/100)-2.8</f>
        <v/>
      </c>
      <c r="N258" s="4">
        <f>M258*E258</f>
        <v/>
      </c>
    </row>
    <row r="259" ht="18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>
        <f>E259*F259*(1-G259/100)*(1+H259/100)</f>
        <v/>
      </c>
      <c r="J259" s="3" t="n"/>
      <c r="K259" s="3" t="n"/>
      <c r="L259" s="3" t="n"/>
      <c r="M259" s="3">
        <f>F259*(1-G259/100)-2.8</f>
        <v/>
      </c>
      <c r="N259" s="3">
        <f>M259*E259</f>
        <v/>
      </c>
    </row>
    <row r="260" ht="18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>
        <f>E260*F260*(1-G260/100)*(1+H260/100)</f>
        <v/>
      </c>
      <c r="J260" s="4" t="n"/>
      <c r="K260" s="4" t="n"/>
      <c r="L260" s="4" t="n"/>
      <c r="M260" s="4">
        <f>F260*(1-G260/100)-2.8</f>
        <v/>
      </c>
      <c r="N260" s="4">
        <f>M260*E260</f>
        <v/>
      </c>
    </row>
    <row r="261" ht="18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>
        <f>E261*F261*(1-G261/100)*(1+H261/100)</f>
        <v/>
      </c>
      <c r="J261" s="3" t="n"/>
      <c r="K261" s="3" t="n"/>
      <c r="L261" s="3" t="n"/>
      <c r="M261" s="3">
        <f>F261*(1-G261/100)-2.8</f>
        <v/>
      </c>
      <c r="N261" s="3">
        <f>M261*E261</f>
        <v/>
      </c>
    </row>
    <row r="262" ht="18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>
        <f>E262*F262*(1-G262/100)*(1+H262/100)</f>
        <v/>
      </c>
      <c r="J262" s="4" t="n"/>
      <c r="K262" s="4" t="n"/>
      <c r="L262" s="4" t="n"/>
      <c r="M262" s="4">
        <f>F262*(1-G262/100)-2.8</f>
        <v/>
      </c>
      <c r="N262" s="4">
        <f>M262*E262</f>
        <v/>
      </c>
    </row>
    <row r="263" ht="18" customHeight="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>
        <f>E263*F263*(1-G263/100)*(1+H263/100)</f>
        <v/>
      </c>
      <c r="J263" s="3" t="n"/>
      <c r="K263" s="3" t="n"/>
      <c r="L263" s="3" t="n"/>
      <c r="M263" s="3">
        <f>F263*(1-G263/100)-2.8</f>
        <v/>
      </c>
      <c r="N263" s="3">
        <f>M263*E263</f>
        <v/>
      </c>
    </row>
    <row r="264" ht="18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>
        <f>E264*F264*(1-G264/100)*(1+H264/100)</f>
        <v/>
      </c>
      <c r="J264" s="4" t="n"/>
      <c r="K264" s="4" t="n"/>
      <c r="L264" s="4" t="n"/>
      <c r="M264" s="4">
        <f>F264*(1-G264/100)-2.8</f>
        <v/>
      </c>
      <c r="N264" s="4">
        <f>M264*E264</f>
        <v/>
      </c>
    </row>
    <row r="265" ht="18" customHeight="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>
        <f>E265*F265*(1-G265/100)*(1+H265/100)</f>
        <v/>
      </c>
      <c r="J265" s="3" t="n"/>
      <c r="K265" s="3" t="n"/>
      <c r="L265" s="3" t="n"/>
      <c r="M265" s="3">
        <f>F265*(1-G265/100)-2.8</f>
        <v/>
      </c>
      <c r="N265" s="3">
        <f>M265*E265</f>
        <v/>
      </c>
    </row>
    <row r="266" ht="18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>
        <f>E266*F266*(1-G266/100)*(1+H266/100)</f>
        <v/>
      </c>
      <c r="J266" s="4" t="n"/>
      <c r="K266" s="4" t="n"/>
      <c r="L266" s="4" t="n"/>
      <c r="M266" s="4">
        <f>F266*(1-G266/100)-2.8</f>
        <v/>
      </c>
      <c r="N266" s="4">
        <f>M266*E266</f>
        <v/>
      </c>
    </row>
    <row r="267" ht="18" customHeight="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>
        <f>E267*F267*(1-G267/100)*(1+H267/100)</f>
        <v/>
      </c>
      <c r="J267" s="3" t="n"/>
      <c r="K267" s="3" t="n"/>
      <c r="L267" s="3" t="n"/>
      <c r="M267" s="3">
        <f>F267*(1-G267/100)-2.8</f>
        <v/>
      </c>
      <c r="N267" s="3">
        <f>M267*E267</f>
        <v/>
      </c>
    </row>
    <row r="268" ht="18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>
        <f>E268*F268*(1-G268/100)*(1+H268/100)</f>
        <v/>
      </c>
      <c r="J268" s="4" t="n"/>
      <c r="K268" s="4" t="n"/>
      <c r="L268" s="4" t="n"/>
      <c r="M268" s="4">
        <f>F268*(1-G268/100)-2.8</f>
        <v/>
      </c>
      <c r="N268" s="4">
        <f>M268*E268</f>
        <v/>
      </c>
    </row>
    <row r="269" ht="18" customHeight="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>
        <f>E269*F269*(1-G269/100)*(1+H269/100)</f>
        <v/>
      </c>
      <c r="J269" s="3" t="n"/>
      <c r="K269" s="3" t="n"/>
      <c r="L269" s="3" t="n"/>
      <c r="M269" s="3">
        <f>F269*(1-G269/100)-2.8</f>
        <v/>
      </c>
      <c r="N269" s="3">
        <f>M269*E269</f>
        <v/>
      </c>
    </row>
    <row r="270" ht="18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>
        <f>E270*F270*(1-G270/100)*(1+H270/100)</f>
        <v/>
      </c>
      <c r="J270" s="4" t="n"/>
      <c r="K270" s="4" t="n"/>
      <c r="L270" s="4" t="n"/>
      <c r="M270" s="4">
        <f>F270*(1-G270/100)-2.8</f>
        <v/>
      </c>
      <c r="N270" s="4">
        <f>M270*E270</f>
        <v/>
      </c>
    </row>
    <row r="271" ht="18" customHeight="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>
        <f>E271*F271*(1-G271/100)*(1+H271/100)</f>
        <v/>
      </c>
      <c r="J271" s="3" t="n"/>
      <c r="K271" s="3" t="n"/>
      <c r="L271" s="3" t="n"/>
      <c r="M271" s="3">
        <f>F271*(1-G271/100)-2.8</f>
        <v/>
      </c>
      <c r="N271" s="3">
        <f>M271*E271</f>
        <v/>
      </c>
    </row>
    <row r="272" ht="18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>
        <f>E272*F272*(1-G272/100)*(1+H272/100)</f>
        <v/>
      </c>
      <c r="J272" s="4" t="n"/>
      <c r="K272" s="4" t="n"/>
      <c r="L272" s="4" t="n"/>
      <c r="M272" s="4">
        <f>F272*(1-G272/100)-2.8</f>
        <v/>
      </c>
      <c r="N272" s="4">
        <f>M272*E272</f>
        <v/>
      </c>
    </row>
    <row r="273" ht="18" customHeight="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>
        <f>E273*F273*(1-G273/100)*(1+H273/100)</f>
        <v/>
      </c>
      <c r="J273" s="3" t="n"/>
      <c r="K273" s="3" t="n"/>
      <c r="L273" s="3" t="n"/>
      <c r="M273" s="3">
        <f>F273*(1-G273/100)-2.8</f>
        <v/>
      </c>
      <c r="N273" s="3">
        <f>M273*E273</f>
        <v/>
      </c>
    </row>
    <row r="274" ht="18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>
        <f>E274*F274*(1-G274/100)*(1+H274/100)</f>
        <v/>
      </c>
      <c r="J274" s="4" t="n"/>
      <c r="K274" s="4" t="n"/>
      <c r="L274" s="4" t="n"/>
      <c r="M274" s="4">
        <f>F274*(1-G274/100)-2.8</f>
        <v/>
      </c>
      <c r="N274" s="4">
        <f>M274*E274</f>
        <v/>
      </c>
    </row>
    <row r="275" ht="18" customHeight="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>
        <f>E275*F275*(1-G275/100)*(1+H275/100)</f>
        <v/>
      </c>
      <c r="J275" s="3" t="n"/>
      <c r="K275" s="3" t="n"/>
      <c r="L275" s="3" t="n"/>
      <c r="M275" s="3">
        <f>F275*(1-G275/100)-2.8</f>
        <v/>
      </c>
      <c r="N275" s="3">
        <f>M275*E275</f>
        <v/>
      </c>
    </row>
    <row r="276" ht="18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>
        <f>E276*F276*(1-G276/100)*(1+H276/100)</f>
        <v/>
      </c>
      <c r="J276" s="4" t="n"/>
      <c r="K276" s="4" t="n"/>
      <c r="L276" s="4" t="n"/>
      <c r="M276" s="4">
        <f>F276*(1-G276/100)-2.8</f>
        <v/>
      </c>
      <c r="N276" s="4">
        <f>M276*E276</f>
        <v/>
      </c>
    </row>
    <row r="277" ht="18" customHeight="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>
        <f>E277*F277*(1-G277/100)*(1+H277/100)</f>
        <v/>
      </c>
      <c r="J277" s="3" t="n"/>
      <c r="K277" s="3" t="n"/>
      <c r="L277" s="3" t="n"/>
      <c r="M277" s="3">
        <f>F277*(1-G277/100)-2.8</f>
        <v/>
      </c>
      <c r="N277" s="3">
        <f>M277*E277</f>
        <v/>
      </c>
    </row>
    <row r="278" ht="18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>
        <f>E278*F278*(1-G278/100)*(1+H278/100)</f>
        <v/>
      </c>
      <c r="J278" s="4" t="n"/>
      <c r="K278" s="4" t="n"/>
      <c r="L278" s="4" t="n"/>
      <c r="M278" s="4">
        <f>F278*(1-G278/100)-2.8</f>
        <v/>
      </c>
      <c r="N278" s="4">
        <f>M278*E278</f>
        <v/>
      </c>
    </row>
    <row r="279" ht="18" customHeight="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>
        <f>E279*F279*(1-G279/100)*(1+H279/100)</f>
        <v/>
      </c>
      <c r="J279" s="3" t="n"/>
      <c r="K279" s="3" t="n"/>
      <c r="L279" s="3" t="n"/>
      <c r="M279" s="3">
        <f>F279*(1-G279/100)-2.8</f>
        <v/>
      </c>
      <c r="N279" s="3">
        <f>M279*E279</f>
        <v/>
      </c>
    </row>
    <row r="280" ht="18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>
        <f>E280*F280*(1-G280/100)*(1+H280/100)</f>
        <v/>
      </c>
      <c r="J280" s="4" t="n"/>
      <c r="K280" s="4" t="n"/>
      <c r="L280" s="4" t="n"/>
      <c r="M280" s="4">
        <f>F280*(1-G280/100)-2.8</f>
        <v/>
      </c>
      <c r="N280" s="4">
        <f>M280*E280</f>
        <v/>
      </c>
    </row>
    <row r="281" ht="18" customHeight="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>
        <f>E281*F281*(1-G281/100)*(1+H281/100)</f>
        <v/>
      </c>
      <c r="J281" s="3" t="n"/>
      <c r="K281" s="3" t="n"/>
      <c r="L281" s="3" t="n"/>
      <c r="M281" s="3">
        <f>F281*(1-G281/100)-2.8</f>
        <v/>
      </c>
      <c r="N281" s="3">
        <f>M281*E281</f>
        <v/>
      </c>
    </row>
    <row r="282" ht="18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>
        <f>E282*F282*(1-G282/100)*(1+H282/100)</f>
        <v/>
      </c>
      <c r="J282" s="4" t="n"/>
      <c r="K282" s="4" t="n"/>
      <c r="L282" s="4" t="n"/>
      <c r="M282" s="4">
        <f>F282*(1-G282/100)-2.8</f>
        <v/>
      </c>
      <c r="N282" s="4">
        <f>M282*E282</f>
        <v/>
      </c>
    </row>
    <row r="283" ht="18" customHeight="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>
        <f>E283*F283*(1-G283/100)*(1+H283/100)</f>
        <v/>
      </c>
      <c r="J283" s="3" t="n"/>
      <c r="K283" s="3" t="n"/>
      <c r="L283" s="3" t="n"/>
      <c r="M283" s="3">
        <f>F283*(1-G283/100)-2.8</f>
        <v/>
      </c>
      <c r="N283" s="3">
        <f>M283*E283</f>
        <v/>
      </c>
    </row>
    <row r="284" ht="18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>
        <f>E284*F284*(1-G284/100)*(1+H284/100)</f>
        <v/>
      </c>
      <c r="J284" s="4" t="n"/>
      <c r="K284" s="4" t="n"/>
      <c r="L284" s="4" t="n"/>
      <c r="M284" s="4">
        <f>F284*(1-G284/100)-2.8</f>
        <v/>
      </c>
      <c r="N284" s="4">
        <f>M284*E284</f>
        <v/>
      </c>
    </row>
    <row r="285" ht="18" customHeight="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>
        <f>E285*F285*(1-G285/100)*(1+H285/100)</f>
        <v/>
      </c>
      <c r="J285" s="3" t="n"/>
      <c r="K285" s="3" t="n"/>
      <c r="L285" s="3" t="n"/>
      <c r="M285" s="3">
        <f>F285*(1-G285/100)-2.8</f>
        <v/>
      </c>
      <c r="N285" s="3">
        <f>M285*E285</f>
        <v/>
      </c>
    </row>
    <row r="286" ht="18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>
        <f>E286*F286*(1-G286/100)*(1+H286/100)</f>
        <v/>
      </c>
      <c r="J286" s="4" t="n"/>
      <c r="K286" s="4" t="n"/>
      <c r="L286" s="4" t="n"/>
      <c r="M286" s="4">
        <f>F286*(1-G286/100)-2.8</f>
        <v/>
      </c>
      <c r="N286" s="4">
        <f>M286*E286</f>
        <v/>
      </c>
    </row>
    <row r="287" ht="18" customHeight="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>
        <f>E287*F287*(1-G287/100)*(1+H287/100)</f>
        <v/>
      </c>
      <c r="J287" s="3" t="n"/>
      <c r="K287" s="3" t="n"/>
      <c r="L287" s="3" t="n"/>
      <c r="M287" s="3">
        <f>F287*(1-G287/100)-2.8</f>
        <v/>
      </c>
      <c r="N287" s="3">
        <f>M287*E287</f>
        <v/>
      </c>
    </row>
    <row r="288" ht="18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>
        <f>E288*F288*(1-G288/100)*(1+H288/100)</f>
        <v/>
      </c>
      <c r="J288" s="4" t="n"/>
      <c r="K288" s="4" t="n"/>
      <c r="L288" s="4" t="n"/>
      <c r="M288" s="4">
        <f>F288*(1-G288/100)-2.8</f>
        <v/>
      </c>
      <c r="N288" s="4">
        <f>M288*E288</f>
        <v/>
      </c>
    </row>
    <row r="289" ht="18" customHeight="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>
        <f>E289*F289*(1-G289/100)*(1+H289/100)</f>
        <v/>
      </c>
      <c r="J289" s="3" t="n"/>
      <c r="K289" s="3" t="n"/>
      <c r="L289" s="3" t="n"/>
      <c r="M289" s="3">
        <f>F289*(1-G289/100)-2.8</f>
        <v/>
      </c>
      <c r="N289" s="3">
        <f>M289*E289</f>
        <v/>
      </c>
    </row>
    <row r="290" ht="18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>
        <f>E290*F290*(1-G290/100)*(1+H290/100)</f>
        <v/>
      </c>
      <c r="J290" s="4" t="n"/>
      <c r="K290" s="4" t="n"/>
      <c r="L290" s="4" t="n"/>
      <c r="M290" s="4">
        <f>F290*(1-G290/100)-2.8</f>
        <v/>
      </c>
      <c r="N290" s="4">
        <f>M290*E290</f>
        <v/>
      </c>
    </row>
    <row r="291" ht="18" customHeight="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>
        <f>E291*F291*(1-G291/100)*(1+H291/100)</f>
        <v/>
      </c>
      <c r="J291" s="3" t="n"/>
      <c r="K291" s="3" t="n"/>
      <c r="L291" s="3" t="n"/>
      <c r="M291" s="3">
        <f>F291*(1-G291/100)-2.8</f>
        <v/>
      </c>
      <c r="N291" s="3">
        <f>M291*E291</f>
        <v/>
      </c>
    </row>
    <row r="292" ht="18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>
        <f>E292*F292*(1-G292/100)*(1+H292/100)</f>
        <v/>
      </c>
      <c r="J292" s="4" t="n"/>
      <c r="K292" s="4" t="n"/>
      <c r="L292" s="4" t="n"/>
      <c r="M292" s="4">
        <f>F292*(1-G292/100)-2.8</f>
        <v/>
      </c>
      <c r="N292" s="4">
        <f>M292*E292</f>
        <v/>
      </c>
    </row>
    <row r="293" ht="18" customHeight="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>
        <f>E293*F293*(1-G293/100)*(1+H293/100)</f>
        <v/>
      </c>
      <c r="J293" s="3" t="n"/>
      <c r="K293" s="3" t="n"/>
      <c r="L293" s="3" t="n"/>
      <c r="M293" s="3">
        <f>F293*(1-G293/100)-2.8</f>
        <v/>
      </c>
      <c r="N293" s="3">
        <f>M293*E293</f>
        <v/>
      </c>
    </row>
    <row r="294" ht="18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>
        <f>E294*F294*(1-G294/100)*(1+H294/100)</f>
        <v/>
      </c>
      <c r="J294" s="4" t="n"/>
      <c r="K294" s="4" t="n"/>
      <c r="L294" s="4" t="n"/>
      <c r="M294" s="4">
        <f>F294*(1-G294/100)-2.8</f>
        <v/>
      </c>
      <c r="N294" s="4">
        <f>M294*E294</f>
        <v/>
      </c>
    </row>
    <row r="295" ht="18" customHeight="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>
        <f>E295*F295*(1-G295/100)*(1+H295/100)</f>
        <v/>
      </c>
      <c r="J295" s="3" t="n"/>
      <c r="K295" s="3" t="n"/>
      <c r="L295" s="3" t="n"/>
      <c r="M295" s="3">
        <f>F295*(1-G295/100)-2.8</f>
        <v/>
      </c>
      <c r="N295" s="3">
        <f>M295*E295</f>
        <v/>
      </c>
    </row>
    <row r="296" ht="18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>
        <f>E296*F296*(1-G296/100)*(1+H296/100)</f>
        <v/>
      </c>
      <c r="J296" s="4" t="n"/>
      <c r="K296" s="4" t="n"/>
      <c r="L296" s="4" t="n"/>
      <c r="M296" s="4">
        <f>F296*(1-G296/100)-2.8</f>
        <v/>
      </c>
      <c r="N296" s="4">
        <f>M296*E296</f>
        <v/>
      </c>
    </row>
    <row r="297" ht="18" customHeight="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>
        <f>E297*F297*(1-G297/100)*(1+H297/100)</f>
        <v/>
      </c>
      <c r="J297" s="3" t="n"/>
      <c r="K297" s="3" t="n"/>
      <c r="L297" s="3" t="n"/>
      <c r="M297" s="3">
        <f>F297*(1-G297/100)-2.8</f>
        <v/>
      </c>
      <c r="N297" s="3">
        <f>M297*E297</f>
        <v/>
      </c>
    </row>
    <row r="298" ht="18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>
        <f>E298*F298*(1-G298/100)*(1+H298/100)</f>
        <v/>
      </c>
      <c r="J298" s="4" t="n"/>
      <c r="K298" s="4" t="n"/>
      <c r="L298" s="4" t="n"/>
      <c r="M298" s="4">
        <f>F298*(1-G298/100)-2.8</f>
        <v/>
      </c>
      <c r="N298" s="4">
        <f>M298*E298</f>
        <v/>
      </c>
    </row>
    <row r="299" ht="18" customHeight="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>
        <f>E299*F299*(1-G299/100)*(1+H299/100)</f>
        <v/>
      </c>
      <c r="J299" s="3" t="n"/>
      <c r="K299" s="3" t="n"/>
      <c r="L299" s="3" t="n"/>
      <c r="M299" s="3">
        <f>F299*(1-G299/100)-2.8</f>
        <v/>
      </c>
      <c r="N299" s="3">
        <f>M299*E299</f>
        <v/>
      </c>
    </row>
    <row r="300" ht="18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>
        <f>E300*F300*(1-G300/100)*(1+H300/100)</f>
        <v/>
      </c>
      <c r="J300" s="4" t="n"/>
      <c r="K300" s="4" t="n"/>
      <c r="L300" s="4" t="n"/>
      <c r="M300" s="4">
        <f>F300*(1-G300/100)-2.8</f>
        <v/>
      </c>
      <c r="N300" s="4">
        <f>M300*E300</f>
        <v/>
      </c>
    </row>
    <row r="301" ht="18" customHeight="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>
        <f>E301*F301*(1-G301/100)*(1+H301/100)</f>
        <v/>
      </c>
      <c r="J301" s="3" t="n"/>
      <c r="K301" s="3" t="n"/>
      <c r="L301" s="3" t="n"/>
      <c r="M301" s="3">
        <f>F301*(1-G301/100)-2.8</f>
        <v/>
      </c>
      <c r="N301" s="3">
        <f>M301*E301</f>
        <v/>
      </c>
    </row>
    <row r="302" ht="18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>
        <f>E302*F302*(1-G302/100)*(1+H302/100)</f>
        <v/>
      </c>
      <c r="J302" s="4" t="n"/>
      <c r="K302" s="4" t="n"/>
      <c r="L302" s="4" t="n"/>
      <c r="M302" s="4">
        <f>F302*(1-G302/100)-2.8</f>
        <v/>
      </c>
      <c r="N302" s="4">
        <f>M302*E302</f>
        <v/>
      </c>
    </row>
    <row r="303" ht="18" customHeight="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>
        <f>E303*F303*(1-G303/100)*(1+H303/100)</f>
        <v/>
      </c>
      <c r="J303" s="3" t="n"/>
      <c r="K303" s="3" t="n"/>
      <c r="L303" s="3" t="n"/>
      <c r="M303" s="3">
        <f>F303*(1-G303/100)-2.8</f>
        <v/>
      </c>
      <c r="N303" s="3">
        <f>M303*E303</f>
        <v/>
      </c>
    </row>
    <row r="304" ht="18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>
        <f>E304*F304*(1-G304/100)*(1+H304/100)</f>
        <v/>
      </c>
      <c r="J304" s="4" t="n"/>
      <c r="K304" s="4" t="n"/>
      <c r="L304" s="4" t="n"/>
      <c r="M304" s="4">
        <f>F304*(1-G304/100)-2.8</f>
        <v/>
      </c>
      <c r="N304" s="4">
        <f>M304*E304</f>
        <v/>
      </c>
    </row>
    <row r="305" ht="18" customHeight="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>
        <f>E305*F305*(1-G305/100)*(1+H305/100)</f>
        <v/>
      </c>
      <c r="J305" s="3" t="n"/>
      <c r="K305" s="3" t="n"/>
      <c r="L305" s="3" t="n"/>
      <c r="M305" s="3">
        <f>F305*(1-G305/100)-2.8</f>
        <v/>
      </c>
      <c r="N305" s="3">
        <f>M305*E305</f>
        <v/>
      </c>
    </row>
    <row r="306" ht="18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>
        <f>E306*F306*(1-G306/100)*(1+H306/100)</f>
        <v/>
      </c>
      <c r="J306" s="4" t="n"/>
      <c r="K306" s="4" t="n"/>
      <c r="L306" s="4" t="n"/>
      <c r="M306" s="4">
        <f>F306*(1-G306/100)-2.8</f>
        <v/>
      </c>
      <c r="N306" s="4">
        <f>M306*E306</f>
        <v/>
      </c>
    </row>
    <row r="307" ht="18" customHeight="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>
        <f>E307*F307*(1-G307/100)*(1+H307/100)</f>
        <v/>
      </c>
      <c r="J307" s="3" t="n"/>
      <c r="K307" s="3" t="n"/>
      <c r="L307" s="3" t="n"/>
      <c r="M307" s="3">
        <f>F307*(1-G307/100)-2.8</f>
        <v/>
      </c>
      <c r="N307" s="3">
        <f>M307*E307</f>
        <v/>
      </c>
    </row>
    <row r="308" ht="18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>
        <f>E308*F308*(1-G308/100)*(1+H308/100)</f>
        <v/>
      </c>
      <c r="J308" s="4" t="n"/>
      <c r="K308" s="4" t="n"/>
      <c r="L308" s="4" t="n"/>
      <c r="M308" s="4">
        <f>F308*(1-G308/100)-2.8</f>
        <v/>
      </c>
      <c r="N308" s="4">
        <f>M308*E308</f>
        <v/>
      </c>
    </row>
    <row r="309" ht="18" customHeight="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>
        <f>E309*F309*(1-G309/100)*(1+H309/100)</f>
        <v/>
      </c>
      <c r="J309" s="3" t="n"/>
      <c r="K309" s="3" t="n"/>
      <c r="L309" s="3" t="n"/>
      <c r="M309" s="3">
        <f>F309*(1-G309/100)-2.8</f>
        <v/>
      </c>
      <c r="N309" s="3">
        <f>M309*E309</f>
        <v/>
      </c>
    </row>
    <row r="310" ht="18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>
        <f>E310*F310*(1-G310/100)*(1+H310/100)</f>
        <v/>
      </c>
      <c r="J310" s="4" t="n"/>
      <c r="K310" s="4" t="n"/>
      <c r="L310" s="4" t="n"/>
      <c r="M310" s="4">
        <f>F310*(1-G310/100)-2.8</f>
        <v/>
      </c>
      <c r="N310" s="4">
        <f>M310*E310</f>
        <v/>
      </c>
    </row>
    <row r="311" ht="18" customHeight="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>
        <f>E311*F311*(1-G311/100)*(1+H311/100)</f>
        <v/>
      </c>
      <c r="J311" s="3" t="n"/>
      <c r="K311" s="3" t="n"/>
      <c r="L311" s="3" t="n"/>
      <c r="M311" s="3">
        <f>F311*(1-G311/100)-2.8</f>
        <v/>
      </c>
      <c r="N311" s="3">
        <f>M311*E311</f>
        <v/>
      </c>
    </row>
    <row r="312" ht="18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>
        <f>E312*F312*(1-G312/100)*(1+H312/100)</f>
        <v/>
      </c>
      <c r="J312" s="4" t="n"/>
      <c r="K312" s="4" t="n"/>
      <c r="L312" s="4" t="n"/>
      <c r="M312" s="4">
        <f>F312*(1-G312/100)-2.8</f>
        <v/>
      </c>
      <c r="N312" s="4">
        <f>M312*E312</f>
        <v/>
      </c>
    </row>
    <row r="313" ht="18" customHeight="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>
        <f>E313*F313*(1-G313/100)*(1+H313/100)</f>
        <v/>
      </c>
      <c r="J313" s="3" t="n"/>
      <c r="K313" s="3" t="n"/>
      <c r="L313" s="3" t="n"/>
      <c r="M313" s="3">
        <f>F313*(1-G313/100)-2.8</f>
        <v/>
      </c>
      <c r="N313" s="3">
        <f>M313*E313</f>
        <v/>
      </c>
    </row>
    <row r="314" ht="18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>
        <f>E314*F314*(1-G314/100)*(1+H314/100)</f>
        <v/>
      </c>
      <c r="J314" s="4" t="n"/>
      <c r="K314" s="4" t="n"/>
      <c r="L314" s="4" t="n"/>
      <c r="M314" s="4">
        <f>F314*(1-G314/100)-2.8</f>
        <v/>
      </c>
      <c r="N314" s="4">
        <f>M314*E314</f>
        <v/>
      </c>
    </row>
    <row r="315" ht="18" customHeight="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>
        <f>E315*F315*(1-G315/100)*(1+H315/100)</f>
        <v/>
      </c>
      <c r="J315" s="3" t="n"/>
      <c r="K315" s="3" t="n"/>
      <c r="L315" s="3" t="n"/>
      <c r="M315" s="3">
        <f>F315*(1-G315/100)-2.8</f>
        <v/>
      </c>
      <c r="N315" s="3">
        <f>M315*E315</f>
        <v/>
      </c>
    </row>
    <row r="316" ht="18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>
        <f>E316*F316*(1-G316/100)*(1+H316/100)</f>
        <v/>
      </c>
      <c r="J316" s="4" t="n"/>
      <c r="K316" s="4" t="n"/>
      <c r="L316" s="4" t="n"/>
      <c r="M316" s="4">
        <f>F316*(1-G316/100)-2.8</f>
        <v/>
      </c>
      <c r="N316" s="4">
        <f>M316*E316</f>
        <v/>
      </c>
    </row>
    <row r="317" ht="18" customHeight="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>
        <f>E317*F317*(1-G317/100)*(1+H317/100)</f>
        <v/>
      </c>
      <c r="J317" s="3" t="n"/>
      <c r="K317" s="3" t="n"/>
      <c r="L317" s="3" t="n"/>
      <c r="M317" s="3">
        <f>F317*(1-G317/100)-2.8</f>
        <v/>
      </c>
      <c r="N317" s="3">
        <f>M317*E317</f>
        <v/>
      </c>
    </row>
    <row r="318" ht="18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>
        <f>E318*F318*(1-G318/100)*(1+H318/100)</f>
        <v/>
      </c>
      <c r="J318" s="4" t="n"/>
      <c r="K318" s="4" t="n"/>
      <c r="L318" s="4" t="n"/>
      <c r="M318" s="4">
        <f>F318*(1-G318/100)-2.8</f>
        <v/>
      </c>
      <c r="N318" s="4">
        <f>M318*E318</f>
        <v/>
      </c>
    </row>
    <row r="319" ht="18" customHeight="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>
        <f>E319*F319*(1-G319/100)*(1+H319/100)</f>
        <v/>
      </c>
      <c r="J319" s="3" t="n"/>
      <c r="K319" s="3" t="n"/>
      <c r="L319" s="3" t="n"/>
      <c r="M319" s="3">
        <f>F319*(1-G319/100)-2.8</f>
        <v/>
      </c>
      <c r="N319" s="3">
        <f>M319*E319</f>
        <v/>
      </c>
    </row>
    <row r="320" ht="18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>
        <f>E320*F320*(1-G320/100)*(1+H320/100)</f>
        <v/>
      </c>
      <c r="J320" s="4" t="n"/>
      <c r="K320" s="4" t="n"/>
      <c r="L320" s="4" t="n"/>
      <c r="M320" s="4">
        <f>F320*(1-G320/100)-2.8</f>
        <v/>
      </c>
      <c r="N320" s="4">
        <f>M320*E320</f>
        <v/>
      </c>
    </row>
    <row r="321" ht="18" customHeight="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>
        <f>E321*F321*(1-G321/100)*(1+H321/100)</f>
        <v/>
      </c>
      <c r="J321" s="3" t="n"/>
      <c r="K321" s="3" t="n"/>
      <c r="L321" s="3" t="n"/>
      <c r="M321" s="3">
        <f>F321*(1-G321/100)-2.8</f>
        <v/>
      </c>
      <c r="N321" s="3">
        <f>M321*E321</f>
        <v/>
      </c>
    </row>
    <row r="322" ht="18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>
        <f>E322*F322*(1-G322/100)*(1+H322/100)</f>
        <v/>
      </c>
      <c r="J322" s="4" t="n"/>
      <c r="K322" s="4" t="n"/>
      <c r="L322" s="4" t="n"/>
      <c r="M322" s="4">
        <f>F322*(1-G322/100)-2.8</f>
        <v/>
      </c>
      <c r="N322" s="4">
        <f>M322*E322</f>
        <v/>
      </c>
    </row>
    <row r="323" ht="18" customHeight="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>
        <f>E323*F323*(1-G323/100)*(1+H323/100)</f>
        <v/>
      </c>
      <c r="J323" s="3" t="n"/>
      <c r="K323" s="3" t="n"/>
      <c r="L323" s="3" t="n"/>
      <c r="M323" s="3">
        <f>F323*(1-G323/100)-2.8</f>
        <v/>
      </c>
      <c r="N323" s="3">
        <f>M323*E323</f>
        <v/>
      </c>
    </row>
    <row r="324" ht="18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>
        <f>E324*F324*(1-G324/100)*(1+H324/100)</f>
        <v/>
      </c>
      <c r="J324" s="4" t="n"/>
      <c r="K324" s="4" t="n"/>
      <c r="L324" s="4" t="n"/>
      <c r="M324" s="4">
        <f>F324*(1-G324/100)-2.8</f>
        <v/>
      </c>
      <c r="N324" s="4">
        <f>M324*E324</f>
        <v/>
      </c>
    </row>
    <row r="325" ht="18" customHeight="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>
        <f>E325*F325*(1-G325/100)*(1+H325/100)</f>
        <v/>
      </c>
      <c r="J325" s="3" t="n"/>
      <c r="K325" s="3" t="n"/>
      <c r="L325" s="3" t="n"/>
      <c r="M325" s="3">
        <f>F325*(1-G325/100)-2.8</f>
        <v/>
      </c>
      <c r="N325" s="3">
        <f>M325*E325</f>
        <v/>
      </c>
    </row>
    <row r="326" ht="18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>
        <f>E326*F326*(1-G326/100)*(1+H326/100)</f>
        <v/>
      </c>
      <c r="J326" s="4" t="n"/>
      <c r="K326" s="4" t="n"/>
      <c r="L326" s="4" t="n"/>
      <c r="M326" s="4">
        <f>F326*(1-G326/100)-2.8</f>
        <v/>
      </c>
      <c r="N326" s="4">
        <f>M326*E326</f>
        <v/>
      </c>
    </row>
    <row r="327" ht="18" customHeight="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>
        <f>E327*F327*(1-G327/100)*(1+H327/100)</f>
        <v/>
      </c>
      <c r="J327" s="3" t="n"/>
      <c r="K327" s="3" t="n"/>
      <c r="L327" s="3" t="n"/>
      <c r="M327" s="3">
        <f>F327*(1-G327/100)-2.8</f>
        <v/>
      </c>
      <c r="N327" s="3">
        <f>M327*E327</f>
        <v/>
      </c>
    </row>
    <row r="328" ht="18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>
        <f>E328*F328*(1-G328/100)*(1+H328/100)</f>
        <v/>
      </c>
      <c r="J328" s="4" t="n"/>
      <c r="K328" s="4" t="n"/>
      <c r="L328" s="4" t="n"/>
      <c r="M328" s="4">
        <f>F328*(1-G328/100)-2.8</f>
        <v/>
      </c>
      <c r="N328" s="4">
        <f>M328*E328</f>
        <v/>
      </c>
    </row>
    <row r="329" ht="18" customHeight="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>
        <f>E329*F329*(1-G329/100)*(1+H329/100)</f>
        <v/>
      </c>
      <c r="J329" s="3" t="n"/>
      <c r="K329" s="3" t="n"/>
      <c r="L329" s="3" t="n"/>
      <c r="M329" s="3">
        <f>F329*(1-G329/100)-2.8</f>
        <v/>
      </c>
      <c r="N329" s="3">
        <f>M329*E329</f>
        <v/>
      </c>
    </row>
    <row r="330" ht="18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>
        <f>E330*F330*(1-G330/100)*(1+H330/100)</f>
        <v/>
      </c>
      <c r="J330" s="4" t="n"/>
      <c r="K330" s="4" t="n"/>
      <c r="L330" s="4" t="n"/>
      <c r="M330" s="4">
        <f>F330*(1-G330/100)-2.8</f>
        <v/>
      </c>
      <c r="N330" s="4">
        <f>M330*E330</f>
        <v/>
      </c>
    </row>
    <row r="331" ht="18" customHeight="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>
        <f>E331*F331*(1-G331/100)*(1+H331/100)</f>
        <v/>
      </c>
      <c r="J331" s="3" t="n"/>
      <c r="K331" s="3" t="n"/>
      <c r="L331" s="3" t="n"/>
      <c r="M331" s="3">
        <f>F331*(1-G331/100)-2.8</f>
        <v/>
      </c>
      <c r="N331" s="3">
        <f>M331*E331</f>
        <v/>
      </c>
    </row>
    <row r="332" ht="18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>
        <f>E332*F332*(1-G332/100)*(1+H332/100)</f>
        <v/>
      </c>
      <c r="J332" s="4" t="n"/>
      <c r="K332" s="4" t="n"/>
      <c r="L332" s="4" t="n"/>
      <c r="M332" s="4">
        <f>F332*(1-G332/100)-2.8</f>
        <v/>
      </c>
      <c r="N332" s="4">
        <f>M332*E332</f>
        <v/>
      </c>
    </row>
    <row r="333" ht="18" customHeight="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>
        <f>E333*F333*(1-G333/100)*(1+H333/100)</f>
        <v/>
      </c>
      <c r="J333" s="3" t="n"/>
      <c r="K333" s="3" t="n"/>
      <c r="L333" s="3" t="n"/>
      <c r="M333" s="3">
        <f>F333*(1-G333/100)-2.8</f>
        <v/>
      </c>
      <c r="N333" s="3">
        <f>M333*E333</f>
        <v/>
      </c>
    </row>
    <row r="334" ht="18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>
        <f>E334*F334*(1-G334/100)*(1+H334/100)</f>
        <v/>
      </c>
      <c r="J334" s="4" t="n"/>
      <c r="K334" s="4" t="n"/>
      <c r="L334" s="4" t="n"/>
      <c r="M334" s="4">
        <f>F334*(1-G334/100)-2.8</f>
        <v/>
      </c>
      <c r="N334" s="4">
        <f>M334*E334</f>
        <v/>
      </c>
    </row>
    <row r="335" ht="18" customHeight="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>
        <f>E335*F335*(1-G335/100)*(1+H335/100)</f>
        <v/>
      </c>
      <c r="J335" s="3" t="n"/>
      <c r="K335" s="3" t="n"/>
      <c r="L335" s="3" t="n"/>
      <c r="M335" s="3">
        <f>F335*(1-G335/100)-2.8</f>
        <v/>
      </c>
      <c r="N335" s="3">
        <f>M335*E335</f>
        <v/>
      </c>
    </row>
    <row r="336" ht="18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>
        <f>E336*F336*(1-G336/100)*(1+H336/100)</f>
        <v/>
      </c>
      <c r="J336" s="4" t="n"/>
      <c r="K336" s="4" t="n"/>
      <c r="L336" s="4" t="n"/>
      <c r="M336" s="4">
        <f>F336*(1-G336/100)-2.8</f>
        <v/>
      </c>
      <c r="N336" s="4">
        <f>M336*E336</f>
        <v/>
      </c>
    </row>
    <row r="337" ht="18" customHeight="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>
        <f>E337*F337*(1-G337/100)*(1+H337/100)</f>
        <v/>
      </c>
      <c r="J337" s="3" t="n"/>
      <c r="K337" s="3" t="n"/>
      <c r="L337" s="3" t="n"/>
      <c r="M337" s="3">
        <f>F337*(1-G337/100)-2.8</f>
        <v/>
      </c>
      <c r="N337" s="3">
        <f>M337*E337</f>
        <v/>
      </c>
    </row>
    <row r="338" ht="18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>
        <f>E338*F338*(1-G338/100)*(1+H338/100)</f>
        <v/>
      </c>
      <c r="J338" s="4" t="n"/>
      <c r="K338" s="4" t="n"/>
      <c r="L338" s="4" t="n"/>
      <c r="M338" s="4">
        <f>F338*(1-G338/100)-2.8</f>
        <v/>
      </c>
      <c r="N338" s="4">
        <f>M338*E338</f>
        <v/>
      </c>
    </row>
    <row r="339" ht="18" customHeight="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>
        <f>E339*F339*(1-G339/100)*(1+H339/100)</f>
        <v/>
      </c>
      <c r="J339" s="3" t="n"/>
      <c r="K339" s="3" t="n"/>
      <c r="L339" s="3" t="n"/>
      <c r="M339" s="3">
        <f>F339*(1-G339/100)-2.8</f>
        <v/>
      </c>
      <c r="N339" s="3">
        <f>M339*E339</f>
        <v/>
      </c>
    </row>
    <row r="340" ht="18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>
        <f>E340*F340*(1-G340/100)*(1+H340/100)</f>
        <v/>
      </c>
      <c r="J340" s="4" t="n"/>
      <c r="K340" s="4" t="n"/>
      <c r="L340" s="4" t="n"/>
      <c r="M340" s="4">
        <f>F340*(1-G340/100)-2.8</f>
        <v/>
      </c>
      <c r="N340" s="4">
        <f>M340*E340</f>
        <v/>
      </c>
    </row>
    <row r="341" ht="18" customHeight="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>
        <f>E341*F341*(1-G341/100)*(1+H341/100)</f>
        <v/>
      </c>
      <c r="J341" s="3" t="n"/>
      <c r="K341" s="3" t="n"/>
      <c r="L341" s="3" t="n"/>
      <c r="M341" s="3">
        <f>F341*(1-G341/100)-2.8</f>
        <v/>
      </c>
      <c r="N341" s="3">
        <f>M341*E341</f>
        <v/>
      </c>
    </row>
    <row r="342" ht="18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>
        <f>E342*F342*(1-G342/100)*(1+H342/100)</f>
        <v/>
      </c>
      <c r="J342" s="4" t="n"/>
      <c r="K342" s="4" t="n"/>
      <c r="L342" s="4" t="n"/>
      <c r="M342" s="4">
        <f>F342*(1-G342/100)-2.8</f>
        <v/>
      </c>
      <c r="N342" s="4">
        <f>M342*E342</f>
        <v/>
      </c>
    </row>
    <row r="343" ht="18" customHeight="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>
        <f>E343*F343*(1-G343/100)*(1+H343/100)</f>
        <v/>
      </c>
      <c r="J343" s="3" t="n"/>
      <c r="K343" s="3" t="n"/>
      <c r="L343" s="3" t="n"/>
      <c r="M343" s="3">
        <f>F343*(1-G343/100)-2.8</f>
        <v/>
      </c>
      <c r="N343" s="3">
        <f>M343*E343</f>
        <v/>
      </c>
    </row>
    <row r="344" ht="18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>
        <f>E344*F344*(1-G344/100)*(1+H344/100)</f>
        <v/>
      </c>
      <c r="J344" s="4" t="n"/>
      <c r="K344" s="4" t="n"/>
      <c r="L344" s="4" t="n"/>
      <c r="M344" s="4">
        <f>F344*(1-G344/100)-2.8</f>
        <v/>
      </c>
      <c r="N344" s="4">
        <f>M344*E344</f>
        <v/>
      </c>
    </row>
    <row r="345" ht="18" customHeight="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>
        <f>E345*F345*(1-G345/100)*(1+H345/100)</f>
        <v/>
      </c>
      <c r="J345" s="3" t="n"/>
      <c r="K345" s="3" t="n"/>
      <c r="L345" s="3" t="n"/>
      <c r="M345" s="3">
        <f>F345*(1-G345/100)-2.8</f>
        <v/>
      </c>
      <c r="N345" s="3">
        <f>M345*E345</f>
        <v/>
      </c>
    </row>
    <row r="346" ht="18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>
        <f>E346*F346*(1-G346/100)*(1+H346/100)</f>
        <v/>
      </c>
      <c r="J346" s="4" t="n"/>
      <c r="K346" s="4" t="n"/>
      <c r="L346" s="4" t="n"/>
      <c r="M346" s="4">
        <f>F346*(1-G346/100)-2.8</f>
        <v/>
      </c>
      <c r="N346" s="4">
        <f>M346*E346</f>
        <v/>
      </c>
    </row>
    <row r="347" ht="18" customHeight="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>
        <f>E347*F347*(1-G347/100)*(1+H347/100)</f>
        <v/>
      </c>
      <c r="J347" s="3" t="n"/>
      <c r="K347" s="3" t="n"/>
      <c r="L347" s="3" t="n"/>
      <c r="M347" s="3">
        <f>F347*(1-G347/100)-2.8</f>
        <v/>
      </c>
      <c r="N347" s="3">
        <f>M347*E347</f>
        <v/>
      </c>
    </row>
    <row r="348" ht="18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>
        <f>E348*F348*(1-G348/100)*(1+H348/100)</f>
        <v/>
      </c>
      <c r="J348" s="4" t="n"/>
      <c r="K348" s="4" t="n"/>
      <c r="L348" s="4" t="n"/>
      <c r="M348" s="4">
        <f>F348*(1-G348/100)-2.8</f>
        <v/>
      </c>
      <c r="N348" s="4">
        <f>M348*E348</f>
        <v/>
      </c>
    </row>
    <row r="349" ht="18" customHeight="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>
        <f>E349*F349*(1-G349/100)*(1+H349/100)</f>
        <v/>
      </c>
      <c r="J349" s="3" t="n"/>
      <c r="K349" s="3" t="n"/>
      <c r="L349" s="3" t="n"/>
      <c r="M349" s="3">
        <f>F349*(1-G349/100)-2.8</f>
        <v/>
      </c>
      <c r="N349" s="3">
        <f>M349*E349</f>
        <v/>
      </c>
    </row>
    <row r="350" ht="18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>
        <f>E350*F350*(1-G350/100)*(1+H350/100)</f>
        <v/>
      </c>
      <c r="J350" s="4" t="n"/>
      <c r="K350" s="4" t="n"/>
      <c r="L350" s="4" t="n"/>
      <c r="M350" s="4">
        <f>F350*(1-G350/100)-2.8</f>
        <v/>
      </c>
      <c r="N350" s="4">
        <f>M350*E350</f>
        <v/>
      </c>
    </row>
    <row r="351" ht="18" customHeight="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>
        <f>E351*F351*(1-G351/100)*(1+H351/100)</f>
        <v/>
      </c>
      <c r="J351" s="3" t="n"/>
      <c r="K351" s="3" t="n"/>
      <c r="L351" s="3" t="n"/>
      <c r="M351" s="3">
        <f>F351*(1-G351/100)-2.8</f>
        <v/>
      </c>
      <c r="N351" s="3">
        <f>M351*E351</f>
        <v/>
      </c>
    </row>
    <row r="352" ht="18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>
        <f>E352*F352*(1-G352/100)*(1+H352/100)</f>
        <v/>
      </c>
      <c r="J352" s="4" t="n"/>
      <c r="K352" s="4" t="n"/>
      <c r="L352" s="4" t="n"/>
      <c r="M352" s="4">
        <f>F352*(1-G352/100)-2.8</f>
        <v/>
      </c>
      <c r="N352" s="4">
        <f>M352*E352</f>
        <v/>
      </c>
    </row>
    <row r="353" ht="18" customHeight="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>
        <f>E353*F353*(1-G353/100)*(1+H353/100)</f>
        <v/>
      </c>
      <c r="J353" s="3" t="n"/>
      <c r="K353" s="3" t="n"/>
      <c r="L353" s="3" t="n"/>
      <c r="M353" s="3">
        <f>F353*(1-G353/100)-2.8</f>
        <v/>
      </c>
      <c r="N353" s="3">
        <f>M353*E353</f>
        <v/>
      </c>
    </row>
    <row r="354" ht="18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>
        <f>E354*F354*(1-G354/100)*(1+H354/100)</f>
        <v/>
      </c>
      <c r="J354" s="4" t="n"/>
      <c r="K354" s="4" t="n"/>
      <c r="L354" s="4" t="n"/>
      <c r="M354" s="4">
        <f>F354*(1-G354/100)-2.8</f>
        <v/>
      </c>
      <c r="N354" s="4">
        <f>M354*E354</f>
        <v/>
      </c>
    </row>
    <row r="355" ht="18" customHeight="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>
        <f>E355*F355*(1-G355/100)*(1+H355/100)</f>
        <v/>
      </c>
      <c r="J355" s="3" t="n"/>
      <c r="K355" s="3" t="n"/>
      <c r="L355" s="3" t="n"/>
      <c r="M355" s="3">
        <f>F355*(1-G355/100)-2.8</f>
        <v/>
      </c>
      <c r="N355" s="3">
        <f>M355*E355</f>
        <v/>
      </c>
    </row>
    <row r="356" ht="18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>
        <f>E356*F356*(1-G356/100)*(1+H356/100)</f>
        <v/>
      </c>
      <c r="J356" s="4" t="n"/>
      <c r="K356" s="4" t="n"/>
      <c r="L356" s="4" t="n"/>
      <c r="M356" s="4">
        <f>F356*(1-G356/100)-2.8</f>
        <v/>
      </c>
      <c r="N356" s="4">
        <f>M356*E356</f>
        <v/>
      </c>
    </row>
    <row r="357" ht="18" customHeight="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>
        <f>E357*F357*(1-G357/100)*(1+H357/100)</f>
        <v/>
      </c>
      <c r="J357" s="3" t="n"/>
      <c r="K357" s="3" t="n"/>
      <c r="L357" s="3" t="n"/>
      <c r="M357" s="3">
        <f>F357*(1-G357/100)-2.8</f>
        <v/>
      </c>
      <c r="N357" s="3">
        <f>M357*E357</f>
        <v/>
      </c>
    </row>
    <row r="358" ht="18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>
        <f>E358*F358*(1-G358/100)*(1+H358/100)</f>
        <v/>
      </c>
      <c r="J358" s="4" t="n"/>
      <c r="K358" s="4" t="n"/>
      <c r="L358" s="4" t="n"/>
      <c r="M358" s="4">
        <f>F358*(1-G358/100)-2.8</f>
        <v/>
      </c>
      <c r="N358" s="4">
        <f>M358*E358</f>
        <v/>
      </c>
    </row>
    <row r="359" ht="18" customHeight="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>
        <f>E359*F359*(1-G359/100)*(1+H359/100)</f>
        <v/>
      </c>
      <c r="J359" s="3" t="n"/>
      <c r="K359" s="3" t="n"/>
      <c r="L359" s="3" t="n"/>
      <c r="M359" s="3">
        <f>F359*(1-G359/100)-2.8</f>
        <v/>
      </c>
      <c r="N359" s="3">
        <f>M359*E359</f>
        <v/>
      </c>
    </row>
    <row r="360" ht="18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>
        <f>E360*F360*(1-G360/100)*(1+H360/100)</f>
        <v/>
      </c>
      <c r="J360" s="4" t="n"/>
      <c r="K360" s="4" t="n"/>
      <c r="L360" s="4" t="n"/>
      <c r="M360" s="4">
        <f>F360*(1-G360/100)-2.8</f>
        <v/>
      </c>
      <c r="N360" s="4">
        <f>M360*E360</f>
        <v/>
      </c>
    </row>
    <row r="361" ht="18" customHeight="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>
        <f>E361*F361*(1-G361/100)*(1+H361/100)</f>
        <v/>
      </c>
      <c r="J361" s="3" t="n"/>
      <c r="K361" s="3" t="n"/>
      <c r="L361" s="3" t="n"/>
      <c r="M361" s="3">
        <f>F361*(1-G361/100)-2.8</f>
        <v/>
      </c>
      <c r="N361" s="3">
        <f>M361*E361</f>
        <v/>
      </c>
    </row>
    <row r="362" ht="18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>
        <f>E362*F362*(1-G362/100)*(1+H362/100)</f>
        <v/>
      </c>
      <c r="J362" s="4" t="n"/>
      <c r="K362" s="4" t="n"/>
      <c r="L362" s="4" t="n"/>
      <c r="M362" s="4">
        <f>F362*(1-G362/100)-2.8</f>
        <v/>
      </c>
      <c r="N362" s="4">
        <f>M362*E362</f>
        <v/>
      </c>
    </row>
    <row r="363" ht="18" customHeight="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>
        <f>E363*F363*(1-G363/100)*(1+H363/100)</f>
        <v/>
      </c>
      <c r="J363" s="3" t="n"/>
      <c r="K363" s="3" t="n"/>
      <c r="L363" s="3" t="n"/>
      <c r="M363" s="3">
        <f>F363*(1-G363/100)-2.8</f>
        <v/>
      </c>
      <c r="N363" s="3">
        <f>M363*E363</f>
        <v/>
      </c>
    </row>
    <row r="364" ht="18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>
        <f>E364*F364*(1-G364/100)*(1+H364/100)</f>
        <v/>
      </c>
      <c r="J364" s="4" t="n"/>
      <c r="K364" s="4" t="n"/>
      <c r="L364" s="4" t="n"/>
      <c r="M364" s="4">
        <f>F364*(1-G364/100)-2.8</f>
        <v/>
      </c>
      <c r="N364" s="4">
        <f>M364*E364</f>
        <v/>
      </c>
    </row>
    <row r="365" ht="18" customHeight="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>
        <f>E365*F365*(1-G365/100)*(1+H365/100)</f>
        <v/>
      </c>
      <c r="J365" s="3" t="n"/>
      <c r="K365" s="3" t="n"/>
      <c r="L365" s="3" t="n"/>
      <c r="M365" s="3">
        <f>F365*(1-G365/100)-2.8</f>
        <v/>
      </c>
      <c r="N365" s="3">
        <f>M365*E365</f>
        <v/>
      </c>
    </row>
    <row r="366" ht="18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>
        <f>E366*F366*(1-G366/100)*(1+H366/100)</f>
        <v/>
      </c>
      <c r="J366" s="4" t="n"/>
      <c r="K366" s="4" t="n"/>
      <c r="L366" s="4" t="n"/>
      <c r="M366" s="4">
        <f>F366*(1-G366/100)-2.8</f>
        <v/>
      </c>
      <c r="N366" s="4">
        <f>M366*E366</f>
        <v/>
      </c>
    </row>
    <row r="367" ht="18" customHeight="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>
        <f>E367*F367*(1-G367/100)*(1+H367/100)</f>
        <v/>
      </c>
      <c r="J367" s="3" t="n"/>
      <c r="K367" s="3" t="n"/>
      <c r="L367" s="3" t="n"/>
      <c r="M367" s="3">
        <f>F367*(1-G367/100)-2.8</f>
        <v/>
      </c>
      <c r="N367" s="3">
        <f>M367*E367</f>
        <v/>
      </c>
    </row>
    <row r="368" ht="18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>
        <f>E368*F368*(1-G368/100)*(1+H368/100)</f>
        <v/>
      </c>
      <c r="J368" s="4" t="n"/>
      <c r="K368" s="4" t="n"/>
      <c r="L368" s="4" t="n"/>
      <c r="M368" s="4">
        <f>F368*(1-G368/100)-2.8</f>
        <v/>
      </c>
      <c r="N368" s="4">
        <f>M368*E368</f>
        <v/>
      </c>
    </row>
    <row r="369" ht="18" customHeight="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>
        <f>E369*F369*(1-G369/100)*(1+H369/100)</f>
        <v/>
      </c>
      <c r="J369" s="3" t="n"/>
      <c r="K369" s="3" t="n"/>
      <c r="L369" s="3" t="n"/>
      <c r="M369" s="3">
        <f>F369*(1-G369/100)-2.8</f>
        <v/>
      </c>
      <c r="N369" s="3">
        <f>M369*E369</f>
        <v/>
      </c>
    </row>
    <row r="370" ht="18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>
        <f>E370*F370*(1-G370/100)*(1+H370/100)</f>
        <v/>
      </c>
      <c r="J370" s="4" t="n"/>
      <c r="K370" s="4" t="n"/>
      <c r="L370" s="4" t="n"/>
      <c r="M370" s="4">
        <f>F370*(1-G370/100)-2.8</f>
        <v/>
      </c>
      <c r="N370" s="4">
        <f>M370*E370</f>
        <v/>
      </c>
    </row>
    <row r="371" ht="18" customHeight="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>
        <f>E371*F371*(1-G371/100)*(1+H371/100)</f>
        <v/>
      </c>
      <c r="J371" s="3" t="n"/>
      <c r="K371" s="3" t="n"/>
      <c r="L371" s="3" t="n"/>
      <c r="M371" s="3">
        <f>F371*(1-G371/100)-2.8</f>
        <v/>
      </c>
      <c r="N371" s="3">
        <f>M371*E371</f>
        <v/>
      </c>
    </row>
    <row r="372" ht="18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>
        <f>E372*F372*(1-G372/100)*(1+H372/100)</f>
        <v/>
      </c>
      <c r="J372" s="4" t="n"/>
      <c r="K372" s="4" t="n"/>
      <c r="L372" s="4" t="n"/>
      <c r="M372" s="4">
        <f>F372*(1-G372/100)-2.8</f>
        <v/>
      </c>
      <c r="N372" s="4">
        <f>M372*E372</f>
        <v/>
      </c>
    </row>
    <row r="373" ht="18" customHeight="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>
        <f>E373*F373*(1-G373/100)*(1+H373/100)</f>
        <v/>
      </c>
      <c r="J373" s="3" t="n"/>
      <c r="K373" s="3" t="n"/>
      <c r="L373" s="3" t="n"/>
      <c r="M373" s="3">
        <f>F373*(1-G373/100)-2.8</f>
        <v/>
      </c>
      <c r="N373" s="3">
        <f>M373*E373</f>
        <v/>
      </c>
    </row>
    <row r="374" ht="18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>
        <f>E374*F374*(1-G374/100)*(1+H374/100)</f>
        <v/>
      </c>
      <c r="J374" s="4" t="n"/>
      <c r="K374" s="4" t="n"/>
      <c r="L374" s="4" t="n"/>
      <c r="M374" s="4">
        <f>F374*(1-G374/100)-2.8</f>
        <v/>
      </c>
      <c r="N374" s="4">
        <f>M374*E374</f>
        <v/>
      </c>
    </row>
    <row r="375" ht="18" customHeight="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>
        <f>E375*F375*(1-G375/100)*(1+H375/100)</f>
        <v/>
      </c>
      <c r="J375" s="3" t="n"/>
      <c r="K375" s="3" t="n"/>
      <c r="L375" s="3" t="n"/>
      <c r="M375" s="3">
        <f>F375*(1-G375/100)-2.8</f>
        <v/>
      </c>
      <c r="N375" s="3">
        <f>M375*E375</f>
        <v/>
      </c>
    </row>
    <row r="376" ht="18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>
        <f>E376*F376*(1-G376/100)*(1+H376/100)</f>
        <v/>
      </c>
      <c r="J376" s="4" t="n"/>
      <c r="K376" s="4" t="n"/>
      <c r="L376" s="4" t="n"/>
      <c r="M376" s="4">
        <f>F376*(1-G376/100)-2.8</f>
        <v/>
      </c>
      <c r="N376" s="4">
        <f>M376*E376</f>
        <v/>
      </c>
    </row>
    <row r="377" ht="18" customHeight="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>
        <f>E377*F377*(1-G377/100)*(1+H377/100)</f>
        <v/>
      </c>
      <c r="J377" s="3" t="n"/>
      <c r="K377" s="3" t="n"/>
      <c r="L377" s="3" t="n"/>
      <c r="M377" s="3">
        <f>F377*(1-G377/100)-2.8</f>
        <v/>
      </c>
      <c r="N377" s="3">
        <f>M377*E377</f>
        <v/>
      </c>
    </row>
    <row r="378" ht="18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>
        <f>E378*F378*(1-G378/100)*(1+H378/100)</f>
        <v/>
      </c>
      <c r="J378" s="4" t="n"/>
      <c r="K378" s="4" t="n"/>
      <c r="L378" s="4" t="n"/>
      <c r="M378" s="4">
        <f>F378*(1-G378/100)-2.8</f>
        <v/>
      </c>
      <c r="N378" s="4">
        <f>M378*E378</f>
        <v/>
      </c>
    </row>
    <row r="379" ht="18" customHeight="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>
        <f>E379*F379*(1-G379/100)*(1+H379/100)</f>
        <v/>
      </c>
      <c r="J379" s="3" t="n"/>
      <c r="K379" s="3" t="n"/>
      <c r="L379" s="3" t="n"/>
      <c r="M379" s="3">
        <f>F379*(1-G379/100)-2.8</f>
        <v/>
      </c>
      <c r="N379" s="3">
        <f>M379*E379</f>
        <v/>
      </c>
    </row>
    <row r="380" ht="18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>
        <f>E380*F380*(1-G380/100)*(1+H380/100)</f>
        <v/>
      </c>
      <c r="J380" s="4" t="n"/>
      <c r="K380" s="4" t="n"/>
      <c r="L380" s="4" t="n"/>
      <c r="M380" s="4">
        <f>F380*(1-G380/100)-2.8</f>
        <v/>
      </c>
      <c r="N380" s="4">
        <f>M380*E380</f>
        <v/>
      </c>
    </row>
    <row r="381" ht="18" customHeight="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>
        <f>E381*F381*(1-G381/100)*(1+H381/100)</f>
        <v/>
      </c>
      <c r="J381" s="3" t="n"/>
      <c r="K381" s="3" t="n"/>
      <c r="L381" s="3" t="n"/>
      <c r="M381" s="3">
        <f>F381*(1-G381/100)-2.8</f>
        <v/>
      </c>
      <c r="N381" s="3">
        <f>M381*E381</f>
        <v/>
      </c>
    </row>
    <row r="382" ht="18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>
        <f>E382*F382*(1-G382/100)*(1+H382/100)</f>
        <v/>
      </c>
      <c r="J382" s="4" t="n"/>
      <c r="K382" s="4" t="n"/>
      <c r="L382" s="4" t="n"/>
      <c r="M382" s="4">
        <f>F382*(1-G382/100)-2.8</f>
        <v/>
      </c>
      <c r="N382" s="4">
        <f>M382*E382</f>
        <v/>
      </c>
    </row>
    <row r="383" ht="18" customHeight="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>
        <f>E383*F383*(1-G383/100)*(1+H383/100)</f>
        <v/>
      </c>
      <c r="J383" s="3" t="n"/>
      <c r="K383" s="3" t="n"/>
      <c r="L383" s="3" t="n"/>
      <c r="M383" s="3">
        <f>F383*(1-G383/100)-2.8</f>
        <v/>
      </c>
      <c r="N383" s="3">
        <f>M383*E383</f>
        <v/>
      </c>
    </row>
    <row r="384" ht="18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>
        <f>E384*F384*(1-G384/100)*(1+H384/100)</f>
        <v/>
      </c>
      <c r="J384" s="4" t="n"/>
      <c r="K384" s="4" t="n"/>
      <c r="L384" s="4" t="n"/>
      <c r="M384" s="4">
        <f>F384*(1-G384/100)-2.8</f>
        <v/>
      </c>
      <c r="N384" s="4">
        <f>M384*E384</f>
        <v/>
      </c>
    </row>
    <row r="385" ht="18" customHeight="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>
        <f>E385*F385*(1-G385/100)*(1+H385/100)</f>
        <v/>
      </c>
      <c r="J385" s="3" t="n"/>
      <c r="K385" s="3" t="n"/>
      <c r="L385" s="3" t="n"/>
      <c r="M385" s="3">
        <f>F385*(1-G385/100)-2.8</f>
        <v/>
      </c>
      <c r="N385" s="3">
        <f>M385*E385</f>
        <v/>
      </c>
    </row>
    <row r="386" ht="18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>
        <f>E386*F386*(1-G386/100)*(1+H386/100)</f>
        <v/>
      </c>
      <c r="J386" s="4" t="n"/>
      <c r="K386" s="4" t="n"/>
      <c r="L386" s="4" t="n"/>
      <c r="M386" s="4">
        <f>F386*(1-G386/100)-2.8</f>
        <v/>
      </c>
      <c r="N386" s="4">
        <f>M386*E386</f>
        <v/>
      </c>
    </row>
    <row r="387" ht="18" customHeight="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>
        <f>E387*F387*(1-G387/100)*(1+H387/100)</f>
        <v/>
      </c>
      <c r="J387" s="3" t="n"/>
      <c r="K387" s="3" t="n"/>
      <c r="L387" s="3" t="n"/>
      <c r="M387" s="3">
        <f>F387*(1-G387/100)-2.8</f>
        <v/>
      </c>
      <c r="N387" s="3">
        <f>M387*E387</f>
        <v/>
      </c>
    </row>
    <row r="388" ht="18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>
        <f>E388*F388*(1-G388/100)*(1+H388/100)</f>
        <v/>
      </c>
      <c r="J388" s="4" t="n"/>
      <c r="K388" s="4" t="n"/>
      <c r="L388" s="4" t="n"/>
      <c r="M388" s="4">
        <f>F388*(1-G388/100)-2.8</f>
        <v/>
      </c>
      <c r="N388" s="4">
        <f>M388*E388</f>
        <v/>
      </c>
    </row>
    <row r="389" ht="18" customHeight="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>
        <f>E389*F389*(1-G389/100)*(1+H389/100)</f>
        <v/>
      </c>
      <c r="J389" s="3" t="n"/>
      <c r="K389" s="3" t="n"/>
      <c r="L389" s="3" t="n"/>
      <c r="M389" s="3">
        <f>F389*(1-G389/100)-2.8</f>
        <v/>
      </c>
      <c r="N389" s="3">
        <f>M389*E389</f>
        <v/>
      </c>
    </row>
    <row r="390" ht="18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>
        <f>E390*F390*(1-G390/100)*(1+H390/100)</f>
        <v/>
      </c>
      <c r="J390" s="4" t="n"/>
      <c r="K390" s="4" t="n"/>
      <c r="L390" s="4" t="n"/>
      <c r="M390" s="4">
        <f>F390*(1-G390/100)-2.8</f>
        <v/>
      </c>
      <c r="N390" s="4">
        <f>M390*E390</f>
        <v/>
      </c>
    </row>
    <row r="391" ht="18" customHeight="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>
        <f>E391*F391*(1-G391/100)*(1+H391/100)</f>
        <v/>
      </c>
      <c r="J391" s="3" t="n"/>
      <c r="K391" s="3" t="n"/>
      <c r="L391" s="3" t="n"/>
      <c r="M391" s="3">
        <f>F391*(1-G391/100)-2.8</f>
        <v/>
      </c>
      <c r="N391" s="3">
        <f>M391*E391</f>
        <v/>
      </c>
    </row>
    <row r="392" ht="18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>
        <f>E392*F392*(1-G392/100)*(1+H392/100)</f>
        <v/>
      </c>
      <c r="J392" s="4" t="n"/>
      <c r="K392" s="4" t="n"/>
      <c r="L392" s="4" t="n"/>
      <c r="M392" s="4">
        <f>F392*(1-G392/100)-2.8</f>
        <v/>
      </c>
      <c r="N392" s="4">
        <f>M392*E392</f>
        <v/>
      </c>
    </row>
    <row r="393" ht="18" customHeight="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>
        <f>E393*F393*(1-G393/100)*(1+H393/100)</f>
        <v/>
      </c>
      <c r="J393" s="3" t="n"/>
      <c r="K393" s="3" t="n"/>
      <c r="L393" s="3" t="n"/>
      <c r="M393" s="3">
        <f>F393*(1-G393/100)-2.8</f>
        <v/>
      </c>
      <c r="N393" s="3">
        <f>M393*E393</f>
        <v/>
      </c>
    </row>
    <row r="394" ht="18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>
        <f>E394*F394*(1-G394/100)*(1+H394/100)</f>
        <v/>
      </c>
      <c r="J394" s="4" t="n"/>
      <c r="K394" s="4" t="n"/>
      <c r="L394" s="4" t="n"/>
      <c r="M394" s="4">
        <f>F394*(1-G394/100)-2.8</f>
        <v/>
      </c>
      <c r="N394" s="4">
        <f>M394*E394</f>
        <v/>
      </c>
    </row>
    <row r="395" ht="18" customHeight="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>
        <f>E395*F395*(1-G395/100)*(1+H395/100)</f>
        <v/>
      </c>
      <c r="J395" s="3" t="n"/>
      <c r="K395" s="3" t="n"/>
      <c r="L395" s="3" t="n"/>
      <c r="M395" s="3">
        <f>F395*(1-G395/100)-2.8</f>
        <v/>
      </c>
      <c r="N395" s="3">
        <f>M395*E395</f>
        <v/>
      </c>
    </row>
    <row r="396" ht="18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>
        <f>E396*F396*(1-G396/100)*(1+H396/100)</f>
        <v/>
      </c>
      <c r="J396" s="4" t="n"/>
      <c r="K396" s="4" t="n"/>
      <c r="L396" s="4" t="n"/>
      <c r="M396" s="4">
        <f>F396*(1-G396/100)-2.8</f>
        <v/>
      </c>
      <c r="N396" s="4">
        <f>M396*E396</f>
        <v/>
      </c>
    </row>
    <row r="397" ht="18" customHeight="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>
        <f>E397*F397*(1-G397/100)*(1+H397/100)</f>
        <v/>
      </c>
      <c r="J397" s="3" t="n"/>
      <c r="K397" s="3" t="n"/>
      <c r="L397" s="3" t="n"/>
      <c r="M397" s="3">
        <f>F397*(1-G397/100)-2.8</f>
        <v/>
      </c>
      <c r="N397" s="3">
        <f>M397*E397</f>
        <v/>
      </c>
    </row>
    <row r="398" ht="18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>
        <f>E398*F398*(1-G398/100)*(1+H398/100)</f>
        <v/>
      </c>
      <c r="J398" s="4" t="n"/>
      <c r="K398" s="4" t="n"/>
      <c r="L398" s="4" t="n"/>
      <c r="M398" s="4">
        <f>F398*(1-G398/100)-2.8</f>
        <v/>
      </c>
      <c r="N398" s="4">
        <f>M398*E398</f>
        <v/>
      </c>
    </row>
    <row r="399" ht="18" customHeight="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>
        <f>E399*F399*(1-G399/100)*(1+H399/100)</f>
        <v/>
      </c>
      <c r="J399" s="3" t="n"/>
      <c r="K399" s="3" t="n"/>
      <c r="L399" s="3" t="n"/>
      <c r="M399" s="3">
        <f>F399*(1-G399/100)-2.8</f>
        <v/>
      </c>
      <c r="N399" s="3">
        <f>M399*E399</f>
        <v/>
      </c>
    </row>
    <row r="400" ht="18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>
        <f>E400*F400*(1-G400/100)*(1+H400/100)</f>
        <v/>
      </c>
      <c r="J400" s="4" t="n"/>
      <c r="K400" s="4" t="n"/>
      <c r="L400" s="4" t="n"/>
      <c r="M400" s="4">
        <f>F400*(1-G400/100)-2.8</f>
        <v/>
      </c>
      <c r="N400" s="4">
        <f>M400*E400</f>
        <v/>
      </c>
    </row>
    <row r="401" ht="18" customHeight="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>
        <f>E401*F401*(1-G401/100)*(1+H401/100)</f>
        <v/>
      </c>
      <c r="J401" s="3" t="n"/>
      <c r="K401" s="3" t="n"/>
      <c r="L401" s="3" t="n"/>
      <c r="M401" s="3">
        <f>F401*(1-G401/100)-2.8</f>
        <v/>
      </c>
      <c r="N401" s="3">
        <f>M401*E401</f>
        <v/>
      </c>
    </row>
    <row r="402" ht="18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>
        <f>E402*F402*(1-G402/100)*(1+H402/100)</f>
        <v/>
      </c>
      <c r="J402" s="4" t="n"/>
      <c r="K402" s="4" t="n"/>
      <c r="L402" s="4" t="n"/>
      <c r="M402" s="4">
        <f>F402*(1-G402/100)-2.8</f>
        <v/>
      </c>
      <c r="N402" s="4">
        <f>M402*E402</f>
        <v/>
      </c>
    </row>
    <row r="403" ht="18" customHeight="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>
        <f>E403*F403*(1-G403/100)*(1+H403/100)</f>
        <v/>
      </c>
      <c r="J403" s="3" t="n"/>
      <c r="K403" s="3" t="n"/>
      <c r="L403" s="3" t="n"/>
      <c r="M403" s="3">
        <f>F403*(1-G403/100)-2.8</f>
        <v/>
      </c>
      <c r="N403" s="3">
        <f>M403*E403</f>
        <v/>
      </c>
    </row>
    <row r="404" ht="18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>
        <f>E404*F404*(1-G404/100)*(1+H404/100)</f>
        <v/>
      </c>
      <c r="J404" s="4" t="n"/>
      <c r="K404" s="4" t="n"/>
      <c r="L404" s="4" t="n"/>
      <c r="M404" s="4">
        <f>F404*(1-G404/100)-2.8</f>
        <v/>
      </c>
      <c r="N404" s="4">
        <f>M404*E404</f>
        <v/>
      </c>
    </row>
    <row r="405" ht="18" customHeight="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>
        <f>E405*F405*(1-G405/100)*(1+H405/100)</f>
        <v/>
      </c>
      <c r="J405" s="3" t="n"/>
      <c r="K405" s="3" t="n"/>
      <c r="L405" s="3" t="n"/>
      <c r="M405" s="3">
        <f>F405*(1-G405/100)-2.8</f>
        <v/>
      </c>
      <c r="N405" s="3">
        <f>M405*E405</f>
        <v/>
      </c>
    </row>
    <row r="406" ht="18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>
        <f>E406*F406*(1-G406/100)*(1+H406/100)</f>
        <v/>
      </c>
      <c r="J406" s="4" t="n"/>
      <c r="K406" s="4" t="n"/>
      <c r="L406" s="4" t="n"/>
      <c r="M406" s="4">
        <f>F406*(1-G406/100)-2.8</f>
        <v/>
      </c>
      <c r="N406" s="4">
        <f>M406*E406</f>
        <v/>
      </c>
    </row>
    <row r="407" ht="18" customHeight="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>
        <f>E407*F407*(1-G407/100)*(1+H407/100)</f>
        <v/>
      </c>
      <c r="J407" s="3" t="n"/>
      <c r="K407" s="3" t="n"/>
      <c r="L407" s="3" t="n"/>
      <c r="M407" s="3">
        <f>F407*(1-G407/100)-2.8</f>
        <v/>
      </c>
      <c r="N407" s="3">
        <f>M407*E407</f>
        <v/>
      </c>
    </row>
    <row r="408" ht="18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>
        <f>E408*F408*(1-G408/100)*(1+H408/100)</f>
        <v/>
      </c>
      <c r="J408" s="4" t="n"/>
      <c r="K408" s="4" t="n"/>
      <c r="L408" s="4" t="n"/>
      <c r="M408" s="4">
        <f>F408*(1-G408/100)-2.8</f>
        <v/>
      </c>
      <c r="N408" s="4">
        <f>M408*E408</f>
        <v/>
      </c>
    </row>
    <row r="409" ht="18" customHeight="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>
        <f>E409*F409*(1-G409/100)*(1+H409/100)</f>
        <v/>
      </c>
      <c r="J409" s="3" t="n"/>
      <c r="K409" s="3" t="n"/>
      <c r="L409" s="3" t="n"/>
      <c r="M409" s="3">
        <f>F409*(1-G409/100)-2.8</f>
        <v/>
      </c>
      <c r="N409" s="3">
        <f>M409*E409</f>
        <v/>
      </c>
    </row>
    <row r="410" ht="18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>
        <f>E410*F410*(1-G410/100)*(1+H410/100)</f>
        <v/>
      </c>
      <c r="J410" s="4" t="n"/>
      <c r="K410" s="4" t="n"/>
      <c r="L410" s="4" t="n"/>
      <c r="M410" s="4">
        <f>F410*(1-G410/100)-2.8</f>
        <v/>
      </c>
      <c r="N410" s="4">
        <f>M410*E410</f>
        <v/>
      </c>
    </row>
    <row r="411" ht="18" customHeight="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>
        <f>E411*F411*(1-G411/100)*(1+H411/100)</f>
        <v/>
      </c>
      <c r="J411" s="3" t="n"/>
      <c r="K411" s="3" t="n"/>
      <c r="L411" s="3" t="n"/>
      <c r="M411" s="3">
        <f>F411*(1-G411/100)-2.8</f>
        <v/>
      </c>
      <c r="N411" s="3">
        <f>M411*E411</f>
        <v/>
      </c>
    </row>
    <row r="412" ht="18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>
        <f>E412*F412*(1-G412/100)*(1+H412/100)</f>
        <v/>
      </c>
      <c r="J412" s="4" t="n"/>
      <c r="K412" s="4" t="n"/>
      <c r="L412" s="4" t="n"/>
      <c r="M412" s="4">
        <f>F412*(1-G412/100)-2.8</f>
        <v/>
      </c>
      <c r="N412" s="4">
        <f>M412*E412</f>
        <v/>
      </c>
    </row>
    <row r="413" ht="18" customHeight="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>
        <f>E413*F413*(1-G413/100)*(1+H413/100)</f>
        <v/>
      </c>
      <c r="J413" s="3" t="n"/>
      <c r="K413" s="3" t="n"/>
      <c r="L413" s="3" t="n"/>
      <c r="M413" s="3">
        <f>F413*(1-G413/100)-2.8</f>
        <v/>
      </c>
      <c r="N413" s="3">
        <f>M413*E413</f>
        <v/>
      </c>
    </row>
    <row r="414" ht="18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>
        <f>E414*F414*(1-G414/100)*(1+H414/100)</f>
        <v/>
      </c>
      <c r="J414" s="4" t="n"/>
      <c r="K414" s="4" t="n"/>
      <c r="L414" s="4" t="n"/>
      <c r="M414" s="4">
        <f>F414*(1-G414/100)-2.8</f>
        <v/>
      </c>
      <c r="N414" s="4">
        <f>M414*E414</f>
        <v/>
      </c>
    </row>
    <row r="415" ht="18" customHeight="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>
        <f>E415*F415*(1-G415/100)*(1+H415/100)</f>
        <v/>
      </c>
      <c r="J415" s="3" t="n"/>
      <c r="K415" s="3" t="n"/>
      <c r="L415" s="3" t="n"/>
      <c r="M415" s="3">
        <f>F415*(1-G415/100)-2.8</f>
        <v/>
      </c>
      <c r="N415" s="3">
        <f>M415*E415</f>
        <v/>
      </c>
    </row>
    <row r="416" ht="18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>
        <f>E416*F416*(1-G416/100)*(1+H416/100)</f>
        <v/>
      </c>
      <c r="J416" s="4" t="n"/>
      <c r="K416" s="4" t="n"/>
      <c r="L416" s="4" t="n"/>
      <c r="M416" s="4">
        <f>F416*(1-G416/100)-2.8</f>
        <v/>
      </c>
      <c r="N416" s="4">
        <f>M416*E416</f>
        <v/>
      </c>
    </row>
    <row r="417" ht="18" customHeight="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>
        <f>E417*F417*(1-G417/100)*(1+H417/100)</f>
        <v/>
      </c>
      <c r="J417" s="3" t="n"/>
      <c r="K417" s="3" t="n"/>
      <c r="L417" s="3" t="n"/>
      <c r="M417" s="3">
        <f>F417*(1-G417/100)-2.8</f>
        <v/>
      </c>
      <c r="N417" s="3">
        <f>M417*E417</f>
        <v/>
      </c>
    </row>
    <row r="418" ht="18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>
        <f>E418*F418*(1-G418/100)*(1+H418/100)</f>
        <v/>
      </c>
      <c r="J418" s="4" t="n"/>
      <c r="K418" s="4" t="n"/>
      <c r="L418" s="4" t="n"/>
      <c r="M418" s="4">
        <f>F418*(1-G418/100)-2.8</f>
        <v/>
      </c>
      <c r="N418" s="4">
        <f>M418*E418</f>
        <v/>
      </c>
    </row>
    <row r="419" ht="18" customHeight="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>
        <f>E419*F419*(1-G419/100)*(1+H419/100)</f>
        <v/>
      </c>
      <c r="J419" s="3" t="n"/>
      <c r="K419" s="3" t="n"/>
      <c r="L419" s="3" t="n"/>
      <c r="M419" s="3">
        <f>F419*(1-G419/100)-2.8</f>
        <v/>
      </c>
      <c r="N419" s="3">
        <f>M419*E419</f>
        <v/>
      </c>
    </row>
    <row r="420" ht="18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>
        <f>E420*F420*(1-G420/100)*(1+H420/100)</f>
        <v/>
      </c>
      <c r="J420" s="4" t="n"/>
      <c r="K420" s="4" t="n"/>
      <c r="L420" s="4" t="n"/>
      <c r="M420" s="4">
        <f>F420*(1-G420/100)-2.8</f>
        <v/>
      </c>
      <c r="N420" s="4">
        <f>M420*E420</f>
        <v/>
      </c>
    </row>
    <row r="421" ht="18" customHeight="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>
        <f>E421*F421*(1-G421/100)*(1+H421/100)</f>
        <v/>
      </c>
      <c r="J421" s="3" t="n"/>
      <c r="K421" s="3" t="n"/>
      <c r="L421" s="3" t="n"/>
      <c r="M421" s="3">
        <f>F421*(1-G421/100)-2.8</f>
        <v/>
      </c>
      <c r="N421" s="3">
        <f>M421*E421</f>
        <v/>
      </c>
    </row>
    <row r="422" ht="18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>
        <f>E422*F422*(1-G422/100)*(1+H422/100)</f>
        <v/>
      </c>
      <c r="J422" s="4" t="n"/>
      <c r="K422" s="4" t="n"/>
      <c r="L422" s="4" t="n"/>
      <c r="M422" s="4">
        <f>F422*(1-G422/100)-2.8</f>
        <v/>
      </c>
      <c r="N422" s="4">
        <f>M422*E422</f>
        <v/>
      </c>
    </row>
    <row r="423" ht="18" customHeight="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>
        <f>E423*F423*(1-G423/100)*(1+H423/100)</f>
        <v/>
      </c>
      <c r="J423" s="3" t="n"/>
      <c r="K423" s="3" t="n"/>
      <c r="L423" s="3" t="n"/>
      <c r="M423" s="3">
        <f>F423*(1-G423/100)-2.8</f>
        <v/>
      </c>
      <c r="N423" s="3">
        <f>M423*E423</f>
        <v/>
      </c>
    </row>
    <row r="424" ht="18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>
        <f>E424*F424*(1-G424/100)*(1+H424/100)</f>
        <v/>
      </c>
      <c r="J424" s="4" t="n"/>
      <c r="K424" s="4" t="n"/>
      <c r="L424" s="4" t="n"/>
      <c r="M424" s="4">
        <f>F424*(1-G424/100)-2.8</f>
        <v/>
      </c>
      <c r="N424" s="4">
        <f>M424*E424</f>
        <v/>
      </c>
    </row>
    <row r="425" ht="18" customHeight="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>
        <f>E425*F425*(1-G425/100)*(1+H425/100)</f>
        <v/>
      </c>
      <c r="J425" s="3" t="n"/>
      <c r="K425" s="3" t="n"/>
      <c r="L425" s="3" t="n"/>
      <c r="M425" s="3">
        <f>F425*(1-G425/100)-2.8</f>
        <v/>
      </c>
      <c r="N425" s="3">
        <f>M425*E425</f>
        <v/>
      </c>
    </row>
    <row r="426" ht="18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>
        <f>E426*F426*(1-G426/100)*(1+H426/100)</f>
        <v/>
      </c>
      <c r="J426" s="4" t="n"/>
      <c r="K426" s="4" t="n"/>
      <c r="L426" s="4" t="n"/>
      <c r="M426" s="4">
        <f>F426*(1-G426/100)-2.8</f>
        <v/>
      </c>
      <c r="N426" s="4">
        <f>M426*E426</f>
        <v/>
      </c>
    </row>
    <row r="427" ht="18" customHeight="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>
        <f>E427*F427*(1-G427/100)*(1+H427/100)</f>
        <v/>
      </c>
      <c r="J427" s="3" t="n"/>
      <c r="K427" s="3" t="n"/>
      <c r="L427" s="3" t="n"/>
      <c r="M427" s="3">
        <f>F427*(1-G427/100)-2.8</f>
        <v/>
      </c>
      <c r="N427" s="3">
        <f>M427*E427</f>
        <v/>
      </c>
    </row>
    <row r="428" ht="18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>
        <f>E428*F428*(1-G428/100)*(1+H428/100)</f>
        <v/>
      </c>
      <c r="J428" s="4" t="n"/>
      <c r="K428" s="4" t="n"/>
      <c r="L428" s="4" t="n"/>
      <c r="M428" s="4">
        <f>F428*(1-G428/100)-2.8</f>
        <v/>
      </c>
      <c r="N428" s="4">
        <f>M428*E428</f>
        <v/>
      </c>
    </row>
    <row r="429" ht="18" customHeight="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>
        <f>E429*F429*(1-G429/100)*(1+H429/100)</f>
        <v/>
      </c>
      <c r="J429" s="3" t="n"/>
      <c r="K429" s="3" t="n"/>
      <c r="L429" s="3" t="n"/>
      <c r="M429" s="3">
        <f>F429*(1-G429/100)-2.8</f>
        <v/>
      </c>
      <c r="N429" s="3">
        <f>M429*E429</f>
        <v/>
      </c>
    </row>
    <row r="430" ht="18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>
        <f>E430*F430*(1-G430/100)*(1+H430/100)</f>
        <v/>
      </c>
      <c r="J430" s="4" t="n"/>
      <c r="K430" s="4" t="n"/>
      <c r="L430" s="4" t="n"/>
      <c r="M430" s="4">
        <f>F430*(1-G430/100)-2.8</f>
        <v/>
      </c>
      <c r="N430" s="4">
        <f>M430*E430</f>
        <v/>
      </c>
    </row>
    <row r="431" ht="18" customHeight="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>
        <f>E431*F431*(1-G431/100)*(1+H431/100)</f>
        <v/>
      </c>
      <c r="J431" s="3" t="n"/>
      <c r="K431" s="3" t="n"/>
      <c r="L431" s="3" t="n"/>
      <c r="M431" s="3">
        <f>F431*(1-G431/100)-2.8</f>
        <v/>
      </c>
      <c r="N431" s="3">
        <f>M431*E431</f>
        <v/>
      </c>
    </row>
    <row r="432" ht="18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>
        <f>E432*F432*(1-G432/100)*(1+H432/100)</f>
        <v/>
      </c>
      <c r="J432" s="4" t="n"/>
      <c r="K432" s="4" t="n"/>
      <c r="L432" s="4" t="n"/>
      <c r="M432" s="4">
        <f>F432*(1-G432/100)-2.8</f>
        <v/>
      </c>
      <c r="N432" s="4">
        <f>M432*E432</f>
        <v/>
      </c>
    </row>
    <row r="433" ht="18" customHeight="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>
        <f>E433*F433*(1-G433/100)*(1+H433/100)</f>
        <v/>
      </c>
      <c r="J433" s="3" t="n"/>
      <c r="K433" s="3" t="n"/>
      <c r="L433" s="3" t="n"/>
      <c r="M433" s="3">
        <f>F433*(1-G433/100)-2.8</f>
        <v/>
      </c>
      <c r="N433" s="3">
        <f>M433*E433</f>
        <v/>
      </c>
    </row>
    <row r="434" ht="18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>
        <f>E434*F434*(1-G434/100)*(1+H434/100)</f>
        <v/>
      </c>
      <c r="J434" s="4" t="n"/>
      <c r="K434" s="4" t="n"/>
      <c r="L434" s="4" t="n"/>
      <c r="M434" s="4">
        <f>F434*(1-G434/100)-2.8</f>
        <v/>
      </c>
      <c r="N434" s="4">
        <f>M434*E434</f>
        <v/>
      </c>
    </row>
    <row r="435" ht="18" customHeight="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>
        <f>E435*F435*(1-G435/100)*(1+H435/100)</f>
        <v/>
      </c>
      <c r="J435" s="3" t="n"/>
      <c r="K435" s="3" t="n"/>
      <c r="L435" s="3" t="n"/>
      <c r="M435" s="3">
        <f>F435*(1-G435/100)-2.8</f>
        <v/>
      </c>
      <c r="N435" s="3">
        <f>M435*E435</f>
        <v/>
      </c>
    </row>
    <row r="436" ht="18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>
        <f>E436*F436*(1-G436/100)*(1+H436/100)</f>
        <v/>
      </c>
      <c r="J436" s="4" t="n"/>
      <c r="K436" s="4" t="n"/>
      <c r="L436" s="4" t="n"/>
      <c r="M436" s="4">
        <f>F436*(1-G436/100)-2.8</f>
        <v/>
      </c>
      <c r="N436" s="4">
        <f>M436*E436</f>
        <v/>
      </c>
    </row>
    <row r="437" ht="18" customHeight="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>
        <f>E437*F437*(1-G437/100)*(1+H437/100)</f>
        <v/>
      </c>
      <c r="J437" s="3" t="n"/>
      <c r="K437" s="3" t="n"/>
      <c r="L437" s="3" t="n"/>
      <c r="M437" s="3">
        <f>F437*(1-G437/100)-2.8</f>
        <v/>
      </c>
      <c r="N437" s="3">
        <f>M437*E437</f>
        <v/>
      </c>
    </row>
    <row r="438" ht="18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>
        <f>E438*F438*(1-G438/100)*(1+H438/100)</f>
        <v/>
      </c>
      <c r="J438" s="4" t="n"/>
      <c r="K438" s="4" t="n"/>
      <c r="L438" s="4" t="n"/>
      <c r="M438" s="4">
        <f>F438*(1-G438/100)-2.8</f>
        <v/>
      </c>
      <c r="N438" s="4">
        <f>M438*E438</f>
        <v/>
      </c>
    </row>
    <row r="439" ht="18" customHeight="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>
        <f>E439*F439*(1-G439/100)*(1+H439/100)</f>
        <v/>
      </c>
      <c r="J439" s="3" t="n"/>
      <c r="K439" s="3" t="n"/>
      <c r="L439" s="3" t="n"/>
      <c r="M439" s="3">
        <f>F439*(1-G439/100)-2.8</f>
        <v/>
      </c>
      <c r="N439" s="3">
        <f>M439*E439</f>
        <v/>
      </c>
    </row>
    <row r="440" ht="18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>
        <f>E440*F440*(1-G440/100)*(1+H440/100)</f>
        <v/>
      </c>
      <c r="J440" s="4" t="n"/>
      <c r="K440" s="4" t="n"/>
      <c r="L440" s="4" t="n"/>
      <c r="M440" s="4">
        <f>F440*(1-G440/100)-2.8</f>
        <v/>
      </c>
      <c r="N440" s="4">
        <f>M440*E440</f>
        <v/>
      </c>
    </row>
    <row r="441" ht="18" customHeight="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>
        <f>E441*F441*(1-G441/100)*(1+H441/100)</f>
        <v/>
      </c>
      <c r="J441" s="3" t="n"/>
      <c r="K441" s="3" t="n"/>
      <c r="L441" s="3" t="n"/>
      <c r="M441" s="3">
        <f>F441*(1-G441/100)-2.8</f>
        <v/>
      </c>
      <c r="N441" s="3">
        <f>M441*E441</f>
        <v/>
      </c>
    </row>
    <row r="442" ht="18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>
        <f>E442*F442*(1-G442/100)*(1+H442/100)</f>
        <v/>
      </c>
      <c r="J442" s="4" t="n"/>
      <c r="K442" s="4" t="n"/>
      <c r="L442" s="4" t="n"/>
      <c r="M442" s="4">
        <f>F442*(1-G442/100)-2.8</f>
        <v/>
      </c>
      <c r="N442" s="4">
        <f>M442*E442</f>
        <v/>
      </c>
    </row>
    <row r="443" ht="18" customHeight="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>
        <f>E443*F443*(1-G443/100)*(1+H443/100)</f>
        <v/>
      </c>
      <c r="J443" s="3" t="n"/>
      <c r="K443" s="3" t="n"/>
      <c r="L443" s="3" t="n"/>
      <c r="M443" s="3">
        <f>F443*(1-G443/100)-2.8</f>
        <v/>
      </c>
      <c r="N443" s="3">
        <f>M443*E443</f>
        <v/>
      </c>
    </row>
    <row r="444" ht="18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>
        <f>E444*F444*(1-G444/100)*(1+H444/100)</f>
        <v/>
      </c>
      <c r="J444" s="4" t="n"/>
      <c r="K444" s="4" t="n"/>
      <c r="L444" s="4" t="n"/>
      <c r="M444" s="4">
        <f>F444*(1-G444/100)-2.8</f>
        <v/>
      </c>
      <c r="N444" s="4">
        <f>M444*E444</f>
        <v/>
      </c>
    </row>
    <row r="445" ht="18" customHeight="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>
        <f>E445*F445*(1-G445/100)*(1+H445/100)</f>
        <v/>
      </c>
      <c r="J445" s="3" t="n"/>
      <c r="K445" s="3" t="n"/>
      <c r="L445" s="3" t="n"/>
      <c r="M445" s="3">
        <f>F445*(1-G445/100)-2.8</f>
        <v/>
      </c>
      <c r="N445" s="3">
        <f>M445*E445</f>
        <v/>
      </c>
    </row>
    <row r="446" ht="18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>
        <f>E446*F446*(1-G446/100)*(1+H446/100)</f>
        <v/>
      </c>
      <c r="J446" s="4" t="n"/>
      <c r="K446" s="4" t="n"/>
      <c r="L446" s="4" t="n"/>
      <c r="M446" s="4">
        <f>F446*(1-G446/100)-2.8</f>
        <v/>
      </c>
      <c r="N446" s="4">
        <f>M446*E446</f>
        <v/>
      </c>
    </row>
    <row r="447" ht="18" customHeight="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>
        <f>E447*F447*(1-G447/100)*(1+H447/100)</f>
        <v/>
      </c>
      <c r="J447" s="3" t="n"/>
      <c r="K447" s="3" t="n"/>
      <c r="L447" s="3" t="n"/>
      <c r="M447" s="3">
        <f>F447*(1-G447/100)-2.8</f>
        <v/>
      </c>
      <c r="N447" s="3">
        <f>M447*E447</f>
        <v/>
      </c>
    </row>
    <row r="448" ht="18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>
        <f>E448*F448*(1-G448/100)*(1+H448/100)</f>
        <v/>
      </c>
      <c r="J448" s="4" t="n"/>
      <c r="K448" s="4" t="n"/>
      <c r="L448" s="4" t="n"/>
      <c r="M448" s="4">
        <f>F448*(1-G448/100)-2.8</f>
        <v/>
      </c>
      <c r="N448" s="4">
        <f>M448*E448</f>
        <v/>
      </c>
    </row>
    <row r="449" ht="18" customHeight="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>
        <f>E449*F449*(1-G449/100)*(1+H449/100)</f>
        <v/>
      </c>
      <c r="J449" s="3" t="n"/>
      <c r="K449" s="3" t="n"/>
      <c r="L449" s="3" t="n"/>
      <c r="M449" s="3">
        <f>F449*(1-G449/100)-2.8</f>
        <v/>
      </c>
      <c r="N449" s="3">
        <f>M449*E449</f>
        <v/>
      </c>
    </row>
    <row r="450" ht="18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>
        <f>E450*F450*(1-G450/100)*(1+H450/100)</f>
        <v/>
      </c>
      <c r="J450" s="4" t="n"/>
      <c r="K450" s="4" t="n"/>
      <c r="L450" s="4" t="n"/>
      <c r="M450" s="4">
        <f>F450*(1-G450/100)-2.8</f>
        <v/>
      </c>
      <c r="N450" s="4">
        <f>M450*E450</f>
        <v/>
      </c>
    </row>
    <row r="451" ht="18" customHeight="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>
        <f>E451*F451*(1-G451/100)*(1+H451/100)</f>
        <v/>
      </c>
      <c r="J451" s="3" t="n"/>
      <c r="K451" s="3" t="n"/>
      <c r="L451" s="3" t="n"/>
      <c r="M451" s="3">
        <f>F451*(1-G451/100)-2.8</f>
        <v/>
      </c>
      <c r="N451" s="3">
        <f>M451*E451</f>
        <v/>
      </c>
    </row>
    <row r="452" ht="18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>
        <f>E452*F452*(1-G452/100)*(1+H452/100)</f>
        <v/>
      </c>
      <c r="J452" s="4" t="n"/>
      <c r="K452" s="4" t="n"/>
      <c r="L452" s="4" t="n"/>
      <c r="M452" s="4">
        <f>F452*(1-G452/100)-2.8</f>
        <v/>
      </c>
      <c r="N452" s="4">
        <f>M452*E452</f>
        <v/>
      </c>
    </row>
    <row r="453" ht="18" customHeight="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>
        <f>E453*F453*(1-G453/100)*(1+H453/100)</f>
        <v/>
      </c>
      <c r="J453" s="3" t="n"/>
      <c r="K453" s="3" t="n"/>
      <c r="L453" s="3" t="n"/>
      <c r="M453" s="3">
        <f>F453*(1-G453/100)-2.8</f>
        <v/>
      </c>
      <c r="N453" s="3">
        <f>M453*E453</f>
        <v/>
      </c>
    </row>
    <row r="454" ht="18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>
        <f>E454*F454*(1-G454/100)*(1+H454/100)</f>
        <v/>
      </c>
      <c r="J454" s="4" t="n"/>
      <c r="K454" s="4" t="n"/>
      <c r="L454" s="4" t="n"/>
      <c r="M454" s="4">
        <f>F454*(1-G454/100)-2.8</f>
        <v/>
      </c>
      <c r="N454" s="4">
        <f>M454*E454</f>
        <v/>
      </c>
    </row>
    <row r="455" ht="18" customHeight="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>
        <f>E455*F455*(1-G455/100)*(1+H455/100)</f>
        <v/>
      </c>
      <c r="J455" s="3" t="n"/>
      <c r="K455" s="3" t="n"/>
      <c r="L455" s="3" t="n"/>
      <c r="M455" s="3">
        <f>F455*(1-G455/100)-2.8</f>
        <v/>
      </c>
      <c r="N455" s="3">
        <f>M455*E455</f>
        <v/>
      </c>
    </row>
    <row r="456" ht="18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>
        <f>E456*F456*(1-G456/100)*(1+H456/100)</f>
        <v/>
      </c>
      <c r="J456" s="4" t="n"/>
      <c r="K456" s="4" t="n"/>
      <c r="L456" s="4" t="n"/>
      <c r="M456" s="4">
        <f>F456*(1-G456/100)-2.8</f>
        <v/>
      </c>
      <c r="N456" s="4">
        <f>M456*E456</f>
        <v/>
      </c>
    </row>
    <row r="457" ht="18" customHeight="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>
        <f>E457*F457*(1-G457/100)*(1+H457/100)</f>
        <v/>
      </c>
      <c r="J457" s="3" t="n"/>
      <c r="K457" s="3" t="n"/>
      <c r="L457" s="3" t="n"/>
      <c r="M457" s="3">
        <f>F457*(1-G457/100)-2.8</f>
        <v/>
      </c>
      <c r="N457" s="3">
        <f>M457*E457</f>
        <v/>
      </c>
    </row>
    <row r="458" ht="18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>
        <f>E458*F458*(1-G458/100)*(1+H458/100)</f>
        <v/>
      </c>
      <c r="J458" s="4" t="n"/>
      <c r="K458" s="4" t="n"/>
      <c r="L458" s="4" t="n"/>
      <c r="M458" s="4">
        <f>F458*(1-G458/100)-2.8</f>
        <v/>
      </c>
      <c r="N458" s="4">
        <f>M458*E458</f>
        <v/>
      </c>
    </row>
    <row r="459" ht="18" customHeight="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>
        <f>E459*F459*(1-G459/100)*(1+H459/100)</f>
        <v/>
      </c>
      <c r="J459" s="3" t="n"/>
      <c r="K459" s="3" t="n"/>
      <c r="L459" s="3" t="n"/>
      <c r="M459" s="3">
        <f>F459*(1-G459/100)-2.8</f>
        <v/>
      </c>
      <c r="N459" s="3">
        <f>M459*E459</f>
        <v/>
      </c>
    </row>
    <row r="460" ht="18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>
        <f>E460*F460*(1-G460/100)*(1+H460/100)</f>
        <v/>
      </c>
      <c r="J460" s="4" t="n"/>
      <c r="K460" s="4" t="n"/>
      <c r="L460" s="4" t="n"/>
      <c r="M460" s="4">
        <f>F460*(1-G460/100)-2.8</f>
        <v/>
      </c>
      <c r="N460" s="4">
        <f>M460*E460</f>
        <v/>
      </c>
    </row>
    <row r="461" ht="18" customHeight="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>
        <f>E461*F461*(1-G461/100)*(1+H461/100)</f>
        <v/>
      </c>
      <c r="J461" s="3" t="n"/>
      <c r="K461" s="3" t="n"/>
      <c r="L461" s="3" t="n"/>
      <c r="M461" s="3">
        <f>F461*(1-G461/100)-2.8</f>
        <v/>
      </c>
      <c r="N461" s="3">
        <f>M461*E461</f>
        <v/>
      </c>
    </row>
    <row r="462" ht="18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>
        <f>E462*F462*(1-G462/100)*(1+H462/100)</f>
        <v/>
      </c>
      <c r="J462" s="4" t="n"/>
      <c r="K462" s="4" t="n"/>
      <c r="L462" s="4" t="n"/>
      <c r="M462" s="4">
        <f>F462*(1-G462/100)-2.8</f>
        <v/>
      </c>
      <c r="N462" s="4">
        <f>M462*E462</f>
        <v/>
      </c>
    </row>
    <row r="463" ht="18" customHeight="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>
        <f>E463*F463*(1-G463/100)*(1+H463/100)</f>
        <v/>
      </c>
      <c r="J463" s="3" t="n"/>
      <c r="K463" s="3" t="n"/>
      <c r="L463" s="3" t="n"/>
      <c r="M463" s="3">
        <f>F463*(1-G463/100)-2.8</f>
        <v/>
      </c>
      <c r="N463" s="3">
        <f>M463*E463</f>
        <v/>
      </c>
    </row>
    <row r="464" ht="18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>
        <f>E464*F464*(1-G464/100)*(1+H464/100)</f>
        <v/>
      </c>
      <c r="J464" s="4" t="n"/>
      <c r="K464" s="4" t="n"/>
      <c r="L464" s="4" t="n"/>
      <c r="M464" s="4">
        <f>F464*(1-G464/100)-2.8</f>
        <v/>
      </c>
      <c r="N464" s="4">
        <f>M464*E464</f>
        <v/>
      </c>
    </row>
    <row r="465" ht="18" customHeight="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>
        <f>E465*F465*(1-G465/100)*(1+H465/100)</f>
        <v/>
      </c>
      <c r="J465" s="3" t="n"/>
      <c r="K465" s="3" t="n"/>
      <c r="L465" s="3" t="n"/>
      <c r="M465" s="3">
        <f>F465*(1-G465/100)-2.8</f>
        <v/>
      </c>
      <c r="N465" s="3">
        <f>M465*E465</f>
        <v/>
      </c>
    </row>
    <row r="466" ht="18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>
        <f>E466*F466*(1-G466/100)*(1+H466/100)</f>
        <v/>
      </c>
      <c r="J466" s="4" t="n"/>
      <c r="K466" s="4" t="n"/>
      <c r="L466" s="4" t="n"/>
      <c r="M466" s="4">
        <f>F466*(1-G466/100)-2.8</f>
        <v/>
      </c>
      <c r="N466" s="4">
        <f>M466*E466</f>
        <v/>
      </c>
    </row>
    <row r="467" ht="18" customHeight="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>
        <f>E467*F467*(1-G467/100)*(1+H467/100)</f>
        <v/>
      </c>
      <c r="J467" s="3" t="n"/>
      <c r="K467" s="3" t="n"/>
      <c r="L467" s="3" t="n"/>
      <c r="M467" s="3">
        <f>F467*(1-G467/100)-2.8</f>
        <v/>
      </c>
      <c r="N467" s="3">
        <f>M467*E467</f>
        <v/>
      </c>
    </row>
    <row r="468" ht="18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>
        <f>E468*F468*(1-G468/100)*(1+H468/100)</f>
        <v/>
      </c>
      <c r="J468" s="4" t="n"/>
      <c r="K468" s="4" t="n"/>
      <c r="L468" s="4" t="n"/>
      <c r="M468" s="4">
        <f>F468*(1-G468/100)-2.8</f>
        <v/>
      </c>
      <c r="N468" s="4">
        <f>M468*E468</f>
        <v/>
      </c>
    </row>
    <row r="469" ht="18" customHeight="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>
        <f>E469*F469*(1-G469/100)*(1+H469/100)</f>
        <v/>
      </c>
      <c r="J469" s="3" t="n"/>
      <c r="K469" s="3" t="n"/>
      <c r="L469" s="3" t="n"/>
      <c r="M469" s="3">
        <f>F469*(1-G469/100)-2.8</f>
        <v/>
      </c>
      <c r="N469" s="3">
        <f>M469*E469</f>
        <v/>
      </c>
    </row>
    <row r="470" ht="18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>
        <f>E470*F470*(1-G470/100)*(1+H470/100)</f>
        <v/>
      </c>
      <c r="J470" s="4" t="n"/>
      <c r="K470" s="4" t="n"/>
      <c r="L470" s="4" t="n"/>
      <c r="M470" s="4">
        <f>F470*(1-G470/100)-2.8</f>
        <v/>
      </c>
      <c r="N470" s="4">
        <f>M470*E470</f>
        <v/>
      </c>
    </row>
    <row r="471" ht="18" customHeight="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>
        <f>E471*F471*(1-G471/100)*(1+H471/100)</f>
        <v/>
      </c>
      <c r="J471" s="3" t="n"/>
      <c r="K471" s="3" t="n"/>
      <c r="L471" s="3" t="n"/>
      <c r="M471" s="3">
        <f>F471*(1-G471/100)-2.8</f>
        <v/>
      </c>
      <c r="N471" s="3">
        <f>M471*E471</f>
        <v/>
      </c>
    </row>
    <row r="472" ht="18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>
        <f>E472*F472*(1-G472/100)*(1+H472/100)</f>
        <v/>
      </c>
      <c r="J472" s="4" t="n"/>
      <c r="K472" s="4" t="n"/>
      <c r="L472" s="4" t="n"/>
      <c r="M472" s="4">
        <f>F472*(1-G472/100)-2.8</f>
        <v/>
      </c>
      <c r="N472" s="4">
        <f>M472*E472</f>
        <v/>
      </c>
    </row>
    <row r="473" ht="18" customHeight="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>
        <f>E473*F473*(1-G473/100)*(1+H473/100)</f>
        <v/>
      </c>
      <c r="J473" s="3" t="n"/>
      <c r="K473" s="3" t="n"/>
      <c r="L473" s="3" t="n"/>
      <c r="M473" s="3">
        <f>F473*(1-G473/100)-2.8</f>
        <v/>
      </c>
      <c r="N473" s="3">
        <f>M473*E473</f>
        <v/>
      </c>
    </row>
    <row r="474" ht="18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>
        <f>E474*F474*(1-G474/100)*(1+H474/100)</f>
        <v/>
      </c>
      <c r="J474" s="4" t="n"/>
      <c r="K474" s="4" t="n"/>
      <c r="L474" s="4" t="n"/>
      <c r="M474" s="4">
        <f>F474*(1-G474/100)-2.8</f>
        <v/>
      </c>
      <c r="N474" s="4">
        <f>M474*E474</f>
        <v/>
      </c>
    </row>
    <row r="475" ht="18" customHeight="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>
        <f>E475*F475*(1-G475/100)*(1+H475/100)</f>
        <v/>
      </c>
      <c r="J475" s="3" t="n"/>
      <c r="K475" s="3" t="n"/>
      <c r="L475" s="3" t="n"/>
      <c r="M475" s="3">
        <f>F475*(1-G475/100)-2.8</f>
        <v/>
      </c>
      <c r="N475" s="3">
        <f>M475*E475</f>
        <v/>
      </c>
    </row>
    <row r="476" ht="18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>
        <f>E476*F476*(1-G476/100)*(1+H476/100)</f>
        <v/>
      </c>
      <c r="J476" s="4" t="n"/>
      <c r="K476" s="4" t="n"/>
      <c r="L476" s="4" t="n"/>
      <c r="M476" s="4">
        <f>F476*(1-G476/100)-2.8</f>
        <v/>
      </c>
      <c r="N476" s="4">
        <f>M476*E476</f>
        <v/>
      </c>
    </row>
    <row r="477" ht="18" customHeight="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>
        <f>E477*F477*(1-G477/100)*(1+H477/100)</f>
        <v/>
      </c>
      <c r="J477" s="3" t="n"/>
      <c r="K477" s="3" t="n"/>
      <c r="L477" s="3" t="n"/>
      <c r="M477" s="3">
        <f>F477*(1-G477/100)-2.8</f>
        <v/>
      </c>
      <c r="N477" s="3">
        <f>M477*E477</f>
        <v/>
      </c>
    </row>
    <row r="478" ht="18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>
        <f>E478*F478*(1-G478/100)*(1+H478/100)</f>
        <v/>
      </c>
      <c r="J478" s="4" t="n"/>
      <c r="K478" s="4" t="n"/>
      <c r="L478" s="4" t="n"/>
      <c r="M478" s="4">
        <f>F478*(1-G478/100)-2.8</f>
        <v/>
      </c>
      <c r="N478" s="4">
        <f>M478*E478</f>
        <v/>
      </c>
    </row>
    <row r="479" ht="18" customHeight="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>
        <f>E479*F479*(1-G479/100)*(1+H479/100)</f>
        <v/>
      </c>
      <c r="J479" s="3" t="n"/>
      <c r="K479" s="3" t="n"/>
      <c r="L479" s="3" t="n"/>
      <c r="M479" s="3">
        <f>F479*(1-G479/100)-2.8</f>
        <v/>
      </c>
      <c r="N479" s="3">
        <f>M479*E479</f>
        <v/>
      </c>
    </row>
    <row r="480" ht="18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>
        <f>E480*F480*(1-G480/100)*(1+H480/100)</f>
        <v/>
      </c>
      <c r="J480" s="4" t="n"/>
      <c r="K480" s="4" t="n"/>
      <c r="L480" s="4" t="n"/>
      <c r="M480" s="4">
        <f>F480*(1-G480/100)-2.8</f>
        <v/>
      </c>
      <c r="N480" s="4">
        <f>M480*E480</f>
        <v/>
      </c>
    </row>
    <row r="481" ht="18" customHeight="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>
        <f>E481*F481*(1-G481/100)*(1+H481/100)</f>
        <v/>
      </c>
      <c r="J481" s="3" t="n"/>
      <c r="K481" s="3" t="n"/>
      <c r="L481" s="3" t="n"/>
      <c r="M481" s="3">
        <f>F481*(1-G481/100)-2.8</f>
        <v/>
      </c>
      <c r="N481" s="3">
        <f>M481*E481</f>
        <v/>
      </c>
    </row>
    <row r="482" ht="18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>
        <f>E482*F482*(1-G482/100)*(1+H482/100)</f>
        <v/>
      </c>
      <c r="J482" s="4" t="n"/>
      <c r="K482" s="4" t="n"/>
      <c r="L482" s="4" t="n"/>
      <c r="M482" s="4">
        <f>F482*(1-G482/100)-2.8</f>
        <v/>
      </c>
      <c r="N482" s="4">
        <f>M482*E482</f>
        <v/>
      </c>
    </row>
    <row r="483" ht="18" customHeight="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>
        <f>E483*F483*(1-G483/100)*(1+H483/100)</f>
        <v/>
      </c>
      <c r="J483" s="3" t="n"/>
      <c r="K483" s="3" t="n"/>
      <c r="L483" s="3" t="n"/>
      <c r="M483" s="3">
        <f>F483*(1-G483/100)-2.8</f>
        <v/>
      </c>
      <c r="N483" s="3">
        <f>M483*E483</f>
        <v/>
      </c>
    </row>
    <row r="484" ht="18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>
        <f>E484*F484*(1-G484/100)*(1+H484/100)</f>
        <v/>
      </c>
      <c r="J484" s="4" t="n"/>
      <c r="K484" s="4" t="n"/>
      <c r="L484" s="4" t="n"/>
      <c r="M484" s="4">
        <f>F484*(1-G484/100)-2.8</f>
        <v/>
      </c>
      <c r="N484" s="4">
        <f>M484*E484</f>
        <v/>
      </c>
    </row>
    <row r="485" ht="18" customHeight="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>
        <f>E485*F485*(1-G485/100)*(1+H485/100)</f>
        <v/>
      </c>
      <c r="J485" s="3" t="n"/>
      <c r="K485" s="3" t="n"/>
      <c r="L485" s="3" t="n"/>
      <c r="M485" s="3">
        <f>F485*(1-G485/100)-2.8</f>
        <v/>
      </c>
      <c r="N485" s="3">
        <f>M485*E485</f>
        <v/>
      </c>
    </row>
    <row r="486" ht="18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>
        <f>E486*F486*(1-G486/100)*(1+H486/100)</f>
        <v/>
      </c>
      <c r="J486" s="4" t="n"/>
      <c r="K486" s="4" t="n"/>
      <c r="L486" s="4" t="n"/>
      <c r="M486" s="4">
        <f>F486*(1-G486/100)-2.8</f>
        <v/>
      </c>
      <c r="N486" s="4">
        <f>M486*E486</f>
        <v/>
      </c>
    </row>
    <row r="487" ht="18" customHeight="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>
        <f>E487*F487*(1-G487/100)*(1+H487/100)</f>
        <v/>
      </c>
      <c r="J487" s="3" t="n"/>
      <c r="K487" s="3" t="n"/>
      <c r="L487" s="3" t="n"/>
      <c r="M487" s="3">
        <f>F487*(1-G487/100)-2.8</f>
        <v/>
      </c>
      <c r="N487" s="3">
        <f>M487*E487</f>
        <v/>
      </c>
    </row>
    <row r="488" ht="18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>
        <f>E488*F488*(1-G488/100)*(1+H488/100)</f>
        <v/>
      </c>
      <c r="J488" s="4" t="n"/>
      <c r="K488" s="4" t="n"/>
      <c r="L488" s="4" t="n"/>
      <c r="M488" s="4">
        <f>F488*(1-G488/100)-2.8</f>
        <v/>
      </c>
      <c r="N488" s="4">
        <f>M488*E488</f>
        <v/>
      </c>
    </row>
    <row r="489" ht="18" customHeight="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>
        <f>E489*F489*(1-G489/100)*(1+H489/100)</f>
        <v/>
      </c>
      <c r="J489" s="3" t="n"/>
      <c r="K489" s="3" t="n"/>
      <c r="L489" s="3" t="n"/>
      <c r="M489" s="3">
        <f>F489*(1-G489/100)-2.8</f>
        <v/>
      </c>
      <c r="N489" s="3">
        <f>M489*E489</f>
        <v/>
      </c>
    </row>
    <row r="490" ht="18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>
        <f>E490*F490*(1-G490/100)*(1+H490/100)</f>
        <v/>
      </c>
      <c r="J490" s="4" t="n"/>
      <c r="K490" s="4" t="n"/>
      <c r="L490" s="4" t="n"/>
      <c r="M490" s="4">
        <f>F490*(1-G490/100)-2.8</f>
        <v/>
      </c>
      <c r="N490" s="4">
        <f>M490*E490</f>
        <v/>
      </c>
    </row>
    <row r="491" ht="18" customHeight="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>
        <f>E491*F491*(1-G491/100)*(1+H491/100)</f>
        <v/>
      </c>
      <c r="J491" s="3" t="n"/>
      <c r="K491" s="3" t="n"/>
      <c r="L491" s="3" t="n"/>
      <c r="M491" s="3">
        <f>F491*(1-G491/100)-2.8</f>
        <v/>
      </c>
      <c r="N491" s="3">
        <f>M491*E491</f>
        <v/>
      </c>
    </row>
    <row r="492" ht="18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>
        <f>E492*F492*(1-G492/100)*(1+H492/100)</f>
        <v/>
      </c>
      <c r="J492" s="4" t="n"/>
      <c r="K492" s="4" t="n"/>
      <c r="L492" s="4" t="n"/>
      <c r="M492" s="4">
        <f>F492*(1-G492/100)-2.8</f>
        <v/>
      </c>
      <c r="N492" s="4">
        <f>M492*E492</f>
        <v/>
      </c>
    </row>
    <row r="493" ht="18" customHeight="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>
        <f>E493*F493*(1-G493/100)*(1+H493/100)</f>
        <v/>
      </c>
      <c r="J493" s="3" t="n"/>
      <c r="K493" s="3" t="n"/>
      <c r="L493" s="3" t="n"/>
      <c r="M493" s="3">
        <f>F493*(1-G493/100)-2.8</f>
        <v/>
      </c>
      <c r="N493" s="3">
        <f>M493*E493</f>
        <v/>
      </c>
    </row>
    <row r="494" ht="18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>
        <f>E494*F494*(1-G494/100)*(1+H494/100)</f>
        <v/>
      </c>
      <c r="J494" s="4" t="n"/>
      <c r="K494" s="4" t="n"/>
      <c r="L494" s="4" t="n"/>
      <c r="M494" s="4">
        <f>F494*(1-G494/100)-2.8</f>
        <v/>
      </c>
      <c r="N494" s="4">
        <f>M494*E494</f>
        <v/>
      </c>
    </row>
    <row r="495" ht="18" customHeight="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>
        <f>E495*F495*(1-G495/100)*(1+H495/100)</f>
        <v/>
      </c>
      <c r="J495" s="3" t="n"/>
      <c r="K495" s="3" t="n"/>
      <c r="L495" s="3" t="n"/>
      <c r="M495" s="3">
        <f>F495*(1-G495/100)-2.8</f>
        <v/>
      </c>
      <c r="N495" s="3">
        <f>M495*E495</f>
        <v/>
      </c>
    </row>
    <row r="496" ht="18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>
        <f>E496*F496*(1-G496/100)*(1+H496/100)</f>
        <v/>
      </c>
      <c r="J496" s="4" t="n"/>
      <c r="K496" s="4" t="n"/>
      <c r="L496" s="4" t="n"/>
      <c r="M496" s="4">
        <f>F496*(1-G496/100)-2.8</f>
        <v/>
      </c>
      <c r="N496" s="4">
        <f>M496*E496</f>
        <v/>
      </c>
    </row>
    <row r="497" ht="18" customHeight="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>
        <f>E497*F497*(1-G497/100)*(1+H497/100)</f>
        <v/>
      </c>
      <c r="J497" s="3" t="n"/>
      <c r="K497" s="3" t="n"/>
      <c r="L497" s="3" t="n"/>
      <c r="M497" s="3">
        <f>F497*(1-G497/100)-2.8</f>
        <v/>
      </c>
      <c r="N497" s="3">
        <f>M497*E497</f>
        <v/>
      </c>
    </row>
    <row r="498" ht="18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>
        <f>E498*F498*(1-G498/100)*(1+H498/100)</f>
        <v/>
      </c>
      <c r="J498" s="4" t="n"/>
      <c r="K498" s="4" t="n"/>
      <c r="L498" s="4" t="n"/>
      <c r="M498" s="4">
        <f>F498*(1-G498/100)-2.8</f>
        <v/>
      </c>
      <c r="N498" s="4">
        <f>M498*E498</f>
        <v/>
      </c>
    </row>
    <row r="499" ht="18" customHeight="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>
        <f>E499*F499*(1-G499/100)*(1+H499/100)</f>
        <v/>
      </c>
      <c r="J499" s="3" t="n"/>
      <c r="K499" s="3" t="n"/>
      <c r="L499" s="3" t="n"/>
      <c r="M499" s="3">
        <f>F499*(1-G499/100)-2.8</f>
        <v/>
      </c>
      <c r="N499" s="3">
        <f>M499*E499</f>
        <v/>
      </c>
    </row>
    <row r="500" ht="18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>
        <f>E500*F500*(1-G500/100)*(1+H500/100)</f>
        <v/>
      </c>
      <c r="J500" s="4" t="n"/>
      <c r="K500" s="4" t="n"/>
      <c r="L500" s="4" t="n"/>
      <c r="M500" s="4">
        <f>F500*(1-G500/100)-2.8</f>
        <v/>
      </c>
      <c r="N500" s="4">
        <f>M500*E500</f>
        <v/>
      </c>
    </row>
    <row r="501" ht="18" customHeight="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>
        <f>E501*F501*(1-G501/100)*(1+H501/100)</f>
        <v/>
      </c>
      <c r="J501" s="3" t="n"/>
      <c r="K501" s="3" t="n"/>
      <c r="L501" s="3" t="n"/>
      <c r="M501" s="3">
        <f>F501*(1-G501/100)-2.8</f>
        <v/>
      </c>
      <c r="N501" s="3">
        <f>M501*E501</f>
        <v/>
      </c>
    </row>
    <row r="502" ht="18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>
        <f>E502*F502*(1-G502/100)*(1+H502/100)</f>
        <v/>
      </c>
      <c r="J502" s="4" t="n"/>
      <c r="K502" s="4" t="n"/>
      <c r="L502" s="4" t="n"/>
      <c r="M502" s="4">
        <f>F502*(1-G502/100)-2.8</f>
        <v/>
      </c>
      <c r="N502" s="4">
        <f>M502*E502</f>
        <v/>
      </c>
    </row>
    <row r="503" ht="18" customHeight="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>
        <f>E503*F503*(1-G503/100)*(1+H503/100)</f>
        <v/>
      </c>
      <c r="J503" s="3" t="n"/>
      <c r="K503" s="3" t="n"/>
      <c r="L503" s="3" t="n"/>
      <c r="M503" s="3">
        <f>F503*(1-G503/100)-2.8</f>
        <v/>
      </c>
      <c r="N503" s="3">
        <f>M503*E503</f>
        <v/>
      </c>
    </row>
    <row r="504" ht="18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>
        <f>E504*F504*(1-G504/100)*(1+H504/100)</f>
        <v/>
      </c>
      <c r="J504" s="4" t="n"/>
      <c r="K504" s="4" t="n"/>
      <c r="L504" s="4" t="n"/>
      <c r="M504" s="4">
        <f>F504*(1-G504/100)-2.8</f>
        <v/>
      </c>
      <c r="N504" s="4">
        <f>M504*E504</f>
        <v/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4" customWidth="1" min="4" max="4"/>
    <col width="16" customWidth="1" min="5" max="5"/>
    <col width="11" customWidth="1" min="6" max="6"/>
    <col width="13" customWidth="1" min="7" max="7"/>
    <col width="13" customWidth="1" min="8" max="8"/>
    <col width="15" customWidth="1" min="9" max="9"/>
    <col width="13" customWidth="1" min="10" max="10"/>
    <col width="15" customWidth="1" min="11" max="11"/>
    <col width="13" customWidth="1" min="12" max="12"/>
  </cols>
  <sheetData>
    <row r="1" ht="30" customHeight="1">
      <c r="A1" s="1" t="inlineStr">
        <is>
          <t>📦  PRODUCT INVENTORY MANAGEMENT</t>
        </is>
      </c>
    </row>
    <row r="2" ht="8" customHeight="1"/>
    <row r="3" ht="8" customHeight="1"/>
    <row r="4" ht="22" customHeight="1">
      <c r="A4" s="2" t="inlineStr">
        <is>
          <t>Product ID</t>
        </is>
      </c>
      <c r="B4" s="2" t="inlineStr">
        <is>
          <t>Barcode</t>
        </is>
      </c>
      <c r="C4" s="2" t="inlineStr">
        <is>
          <t>Product Name</t>
        </is>
      </c>
      <c r="D4" s="2" t="inlineStr">
        <is>
          <t>Category</t>
        </is>
      </c>
      <c r="E4" s="2" t="inlineStr">
        <is>
          <t>Supplier</t>
        </is>
      </c>
      <c r="F4" s="2" t="inlineStr">
        <is>
          <t>Cost Price</t>
        </is>
      </c>
      <c r="G4" s="2" t="inlineStr">
        <is>
          <t>Selling Price</t>
        </is>
      </c>
      <c r="H4" s="2" t="inlineStr">
        <is>
          <t>Current Stock</t>
        </is>
      </c>
      <c r="I4" s="2" t="inlineStr">
        <is>
          <t>Min Stock Level</t>
        </is>
      </c>
      <c r="J4" s="2" t="inlineStr">
        <is>
          <t>Stock Status</t>
        </is>
      </c>
      <c r="K4" s="2" t="inlineStr">
        <is>
          <t>Inventory Value</t>
        </is>
      </c>
      <c r="L4" s="2" t="inlineStr">
        <is>
          <t>Expiry Date</t>
        </is>
      </c>
    </row>
    <row r="5" ht="18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>
        <f>IF(H5=0,"OUT OF STOCK",IF(H5&lt;=I5,"LOW STOCK","In Stock"))</f>
        <v/>
      </c>
      <c r="K5" s="3">
        <f>H5*G5</f>
        <v/>
      </c>
      <c r="L5" s="3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>
        <f>IF(H6=0,"OUT OF STOCK",IF(H6&lt;=I6,"LOW STOCK","In Stock"))</f>
        <v/>
      </c>
      <c r="K6" s="4">
        <f>H6*G6</f>
        <v/>
      </c>
      <c r="L6" s="4" t="n"/>
    </row>
    <row r="7" ht="18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>
        <f>IF(H7=0,"OUT OF STOCK",IF(H7&lt;=I7,"LOW STOCK","In Stock"))</f>
        <v/>
      </c>
      <c r="K7" s="3">
        <f>H7*G7</f>
        <v/>
      </c>
      <c r="L7" s="3" t="n"/>
    </row>
    <row r="8" ht="18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>
        <f>IF(H8=0,"OUT OF STOCK",IF(H8&lt;=I8,"LOW STOCK","In Stock"))</f>
        <v/>
      </c>
      <c r="K8" s="4">
        <f>H8*G8</f>
        <v/>
      </c>
      <c r="L8" s="4" t="n"/>
    </row>
    <row r="9" ht="18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>
        <f>IF(H9=0,"OUT OF STOCK",IF(H9&lt;=I9,"LOW STOCK","In Stock"))</f>
        <v/>
      </c>
      <c r="K9" s="3">
        <f>H9*G9</f>
        <v/>
      </c>
      <c r="L9" s="3" t="n"/>
    </row>
    <row r="10" ht="18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>
        <f>IF(H10=0,"OUT OF STOCK",IF(H10&lt;=I10,"LOW STOCK","In Stock"))</f>
        <v/>
      </c>
      <c r="K10" s="4">
        <f>H10*G10</f>
        <v/>
      </c>
      <c r="L10" s="4" t="n"/>
    </row>
    <row r="11" ht="18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>
        <f>IF(H11=0,"OUT OF STOCK",IF(H11&lt;=I11,"LOW STOCK","In Stock"))</f>
        <v/>
      </c>
      <c r="K11" s="3">
        <f>H11*G11</f>
        <v/>
      </c>
      <c r="L11" s="3" t="n"/>
    </row>
    <row r="12" ht="18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>
        <f>IF(H12=0,"OUT OF STOCK",IF(H12&lt;=I12,"LOW STOCK","In Stock"))</f>
        <v/>
      </c>
      <c r="K12" s="4">
        <f>H12*G12</f>
        <v/>
      </c>
      <c r="L12" s="4" t="n"/>
    </row>
    <row r="13" ht="18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>
        <f>IF(H13=0,"OUT OF STOCK",IF(H13&lt;=I13,"LOW STOCK","In Stock"))</f>
        <v/>
      </c>
      <c r="K13" s="3">
        <f>H13*G13</f>
        <v/>
      </c>
      <c r="L13" s="3" t="n"/>
    </row>
    <row r="14" ht="18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>
        <f>IF(H14=0,"OUT OF STOCK",IF(H14&lt;=I14,"LOW STOCK","In Stock"))</f>
        <v/>
      </c>
      <c r="K14" s="4">
        <f>H14*G14</f>
        <v/>
      </c>
      <c r="L14" s="4" t="n"/>
    </row>
    <row r="15" ht="18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>
        <f>IF(H15=0,"OUT OF STOCK",IF(H15&lt;=I15,"LOW STOCK","In Stock"))</f>
        <v/>
      </c>
      <c r="K15" s="3">
        <f>H15*G15</f>
        <v/>
      </c>
      <c r="L15" s="3" t="n"/>
    </row>
    <row r="16" ht="18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>
        <f>IF(H16=0,"OUT OF STOCK",IF(H16&lt;=I16,"LOW STOCK","In Stock"))</f>
        <v/>
      </c>
      <c r="K16" s="4">
        <f>H16*G16</f>
        <v/>
      </c>
      <c r="L16" s="4" t="n"/>
    </row>
    <row r="17" ht="18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>
        <f>IF(H17=0,"OUT OF STOCK",IF(H17&lt;=I17,"LOW STOCK","In Stock"))</f>
        <v/>
      </c>
      <c r="K17" s="3">
        <f>H17*G17</f>
        <v/>
      </c>
      <c r="L17" s="3" t="n"/>
    </row>
    <row r="18" ht="18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>
        <f>IF(H18=0,"OUT OF STOCK",IF(H18&lt;=I18,"LOW STOCK","In Stock"))</f>
        <v/>
      </c>
      <c r="K18" s="4">
        <f>H18*G18</f>
        <v/>
      </c>
      <c r="L18" s="4" t="n"/>
    </row>
    <row r="19" ht="18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>
        <f>IF(H19=0,"OUT OF STOCK",IF(H19&lt;=I19,"LOW STOCK","In Stock"))</f>
        <v/>
      </c>
      <c r="K19" s="3">
        <f>H19*G19</f>
        <v/>
      </c>
      <c r="L19" s="3" t="n"/>
    </row>
    <row r="20" ht="18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>
        <f>IF(H20=0,"OUT OF STOCK",IF(H20&lt;=I20,"LOW STOCK","In Stock"))</f>
        <v/>
      </c>
      <c r="K20" s="4">
        <f>H20*G20</f>
        <v/>
      </c>
      <c r="L20" s="4" t="n"/>
    </row>
    <row r="21" ht="18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>
        <f>IF(H21=0,"OUT OF STOCK",IF(H21&lt;=I21,"LOW STOCK","In Stock"))</f>
        <v/>
      </c>
      <c r="K21" s="3">
        <f>H21*G21</f>
        <v/>
      </c>
      <c r="L21" s="3" t="n"/>
    </row>
    <row r="22" ht="18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>
        <f>IF(H22=0,"OUT OF STOCK",IF(H22&lt;=I22,"LOW STOCK","In Stock"))</f>
        <v/>
      </c>
      <c r="K22" s="4">
        <f>H22*G22</f>
        <v/>
      </c>
      <c r="L22" s="4" t="n"/>
    </row>
    <row r="23" ht="18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>
        <f>IF(H23=0,"OUT OF STOCK",IF(H23&lt;=I23,"LOW STOCK","In Stock"))</f>
        <v/>
      </c>
      <c r="K23" s="3">
        <f>H23*G23</f>
        <v/>
      </c>
      <c r="L23" s="3" t="n"/>
    </row>
    <row r="24" ht="18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>
        <f>IF(H24=0,"OUT OF STOCK",IF(H24&lt;=I24,"LOW STOCK","In Stock"))</f>
        <v/>
      </c>
      <c r="K24" s="4">
        <f>H24*G24</f>
        <v/>
      </c>
      <c r="L24" s="4" t="n"/>
    </row>
    <row r="25" ht="18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>
        <f>IF(H25=0,"OUT OF STOCK",IF(H25&lt;=I25,"LOW STOCK","In Stock"))</f>
        <v/>
      </c>
      <c r="K25" s="3">
        <f>H25*G25</f>
        <v/>
      </c>
      <c r="L25" s="3" t="n"/>
    </row>
    <row r="26" ht="18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>
        <f>IF(H26=0,"OUT OF STOCK",IF(H26&lt;=I26,"LOW STOCK","In Stock"))</f>
        <v/>
      </c>
      <c r="K26" s="4">
        <f>H26*G26</f>
        <v/>
      </c>
      <c r="L26" s="4" t="n"/>
    </row>
    <row r="27" ht="18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>
        <f>IF(H27=0,"OUT OF STOCK",IF(H27&lt;=I27,"LOW STOCK","In Stock"))</f>
        <v/>
      </c>
      <c r="K27" s="3">
        <f>H27*G27</f>
        <v/>
      </c>
      <c r="L27" s="3" t="n"/>
    </row>
    <row r="28" ht="18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>
        <f>IF(H28=0,"OUT OF STOCK",IF(H28&lt;=I28,"LOW STOCK","In Stock"))</f>
        <v/>
      </c>
      <c r="K28" s="4">
        <f>H28*G28</f>
        <v/>
      </c>
      <c r="L28" s="4" t="n"/>
    </row>
    <row r="29" ht="18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>
        <f>IF(H29=0,"OUT OF STOCK",IF(H29&lt;=I29,"LOW STOCK","In Stock"))</f>
        <v/>
      </c>
      <c r="K29" s="3">
        <f>H29*G29</f>
        <v/>
      </c>
      <c r="L29" s="3" t="n"/>
    </row>
    <row r="30" ht="18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>
        <f>IF(H30=0,"OUT OF STOCK",IF(H30&lt;=I30,"LOW STOCK","In Stock"))</f>
        <v/>
      </c>
      <c r="K30" s="4">
        <f>H30*G30</f>
        <v/>
      </c>
      <c r="L30" s="4" t="n"/>
    </row>
    <row r="31" ht="18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>
        <f>IF(H31=0,"OUT OF STOCK",IF(H31&lt;=I31,"LOW STOCK","In Stock"))</f>
        <v/>
      </c>
      <c r="K31" s="3">
        <f>H31*G31</f>
        <v/>
      </c>
      <c r="L31" s="3" t="n"/>
    </row>
    <row r="32" ht="18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>
        <f>IF(H32=0,"OUT OF STOCK",IF(H32&lt;=I32,"LOW STOCK","In Stock"))</f>
        <v/>
      </c>
      <c r="K32" s="4">
        <f>H32*G32</f>
        <v/>
      </c>
      <c r="L32" s="4" t="n"/>
    </row>
    <row r="33" ht="18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>
        <f>IF(H33=0,"OUT OF STOCK",IF(H33&lt;=I33,"LOW STOCK","In Stock"))</f>
        <v/>
      </c>
      <c r="K33" s="3">
        <f>H33*G33</f>
        <v/>
      </c>
      <c r="L33" s="3" t="n"/>
    </row>
    <row r="34" ht="18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>
        <f>IF(H34=0,"OUT OF STOCK",IF(H34&lt;=I34,"LOW STOCK","In Stock"))</f>
        <v/>
      </c>
      <c r="K34" s="4">
        <f>H34*G34</f>
        <v/>
      </c>
      <c r="L34" s="4" t="n"/>
    </row>
    <row r="35" ht="18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>
        <f>IF(H35=0,"OUT OF STOCK",IF(H35&lt;=I35,"LOW STOCK","In Stock"))</f>
        <v/>
      </c>
      <c r="K35" s="3">
        <f>H35*G35</f>
        <v/>
      </c>
      <c r="L35" s="3" t="n"/>
    </row>
    <row r="36" ht="18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>
        <f>IF(H36=0,"OUT OF STOCK",IF(H36&lt;=I36,"LOW STOCK","In Stock"))</f>
        <v/>
      </c>
      <c r="K36" s="4">
        <f>H36*G36</f>
        <v/>
      </c>
      <c r="L36" s="4" t="n"/>
    </row>
    <row r="37" ht="18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>
        <f>IF(H37=0,"OUT OF STOCK",IF(H37&lt;=I37,"LOW STOCK","In Stock"))</f>
        <v/>
      </c>
      <c r="K37" s="3">
        <f>H37*G37</f>
        <v/>
      </c>
      <c r="L37" s="3" t="n"/>
    </row>
    <row r="38" ht="18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>
        <f>IF(H38=0,"OUT OF STOCK",IF(H38&lt;=I38,"LOW STOCK","In Stock"))</f>
        <v/>
      </c>
      <c r="K38" s="4">
        <f>H38*G38</f>
        <v/>
      </c>
      <c r="L38" s="4" t="n"/>
    </row>
    <row r="39" ht="18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>
        <f>IF(H39=0,"OUT OF STOCK",IF(H39&lt;=I39,"LOW STOCK","In Stock"))</f>
        <v/>
      </c>
      <c r="K39" s="3">
        <f>H39*G39</f>
        <v/>
      </c>
      <c r="L39" s="3" t="n"/>
    </row>
    <row r="40" ht="18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>
        <f>IF(H40=0,"OUT OF STOCK",IF(H40&lt;=I40,"LOW STOCK","In Stock"))</f>
        <v/>
      </c>
      <c r="K40" s="4">
        <f>H40*G40</f>
        <v/>
      </c>
      <c r="L40" s="4" t="n"/>
    </row>
    <row r="41" ht="18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>
        <f>IF(H41=0,"OUT OF STOCK",IF(H41&lt;=I41,"LOW STOCK","In Stock"))</f>
        <v/>
      </c>
      <c r="K41" s="3">
        <f>H41*G41</f>
        <v/>
      </c>
      <c r="L41" s="3" t="n"/>
    </row>
    <row r="42" ht="18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>
        <f>IF(H42=0,"OUT OF STOCK",IF(H42&lt;=I42,"LOW STOCK","In Stock"))</f>
        <v/>
      </c>
      <c r="K42" s="4">
        <f>H42*G42</f>
        <v/>
      </c>
      <c r="L42" s="4" t="n"/>
    </row>
    <row r="43" ht="18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>
        <f>IF(H43=0,"OUT OF STOCK",IF(H43&lt;=I43,"LOW STOCK","In Stock"))</f>
        <v/>
      </c>
      <c r="K43" s="3">
        <f>H43*G43</f>
        <v/>
      </c>
      <c r="L43" s="3" t="n"/>
    </row>
    <row r="44" ht="18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>
        <f>IF(H44=0,"OUT OF STOCK",IF(H44&lt;=I44,"LOW STOCK","In Stock"))</f>
        <v/>
      </c>
      <c r="K44" s="4">
        <f>H44*G44</f>
        <v/>
      </c>
      <c r="L44" s="4" t="n"/>
    </row>
    <row r="45" ht="18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>
        <f>IF(H45=0,"OUT OF STOCK",IF(H45&lt;=I45,"LOW STOCK","In Stock"))</f>
        <v/>
      </c>
      <c r="K45" s="3">
        <f>H45*G45</f>
        <v/>
      </c>
      <c r="L45" s="3" t="n"/>
    </row>
    <row r="46" ht="18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>
        <f>IF(H46=0,"OUT OF STOCK",IF(H46&lt;=I46,"LOW STOCK","In Stock"))</f>
        <v/>
      </c>
      <c r="K46" s="4">
        <f>H46*G46</f>
        <v/>
      </c>
      <c r="L46" s="4" t="n"/>
    </row>
    <row r="47" ht="18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>
        <f>IF(H47=0,"OUT OF STOCK",IF(H47&lt;=I47,"LOW STOCK","In Stock"))</f>
        <v/>
      </c>
      <c r="K47" s="3">
        <f>H47*G47</f>
        <v/>
      </c>
      <c r="L47" s="3" t="n"/>
    </row>
    <row r="48" ht="18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>
        <f>IF(H48=0,"OUT OF STOCK",IF(H48&lt;=I48,"LOW STOCK","In Stock"))</f>
        <v/>
      </c>
      <c r="K48" s="4">
        <f>H48*G48</f>
        <v/>
      </c>
      <c r="L48" s="4" t="n"/>
    </row>
    <row r="49" ht="18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>
        <f>IF(H49=0,"OUT OF STOCK",IF(H49&lt;=I49,"LOW STOCK","In Stock"))</f>
        <v/>
      </c>
      <c r="K49" s="3">
        <f>H49*G49</f>
        <v/>
      </c>
      <c r="L49" s="3" t="n"/>
    </row>
    <row r="50" ht="18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>
        <f>IF(H50=0,"OUT OF STOCK",IF(H50&lt;=I50,"LOW STOCK","In Stock"))</f>
        <v/>
      </c>
      <c r="K50" s="4">
        <f>H50*G50</f>
        <v/>
      </c>
      <c r="L50" s="4" t="n"/>
    </row>
    <row r="51" ht="18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>
        <f>IF(H51=0,"OUT OF STOCK",IF(H51&lt;=I51,"LOW STOCK","In Stock"))</f>
        <v/>
      </c>
      <c r="K51" s="3">
        <f>H51*G51</f>
        <v/>
      </c>
      <c r="L51" s="3" t="n"/>
    </row>
    <row r="52" ht="18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>
        <f>IF(H52=0,"OUT OF STOCK",IF(H52&lt;=I52,"LOW STOCK","In Stock"))</f>
        <v/>
      </c>
      <c r="K52" s="4">
        <f>H52*G52</f>
        <v/>
      </c>
      <c r="L52" s="4" t="n"/>
    </row>
    <row r="53" ht="18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>
        <f>IF(H53=0,"OUT OF STOCK",IF(H53&lt;=I53,"LOW STOCK","In Stock"))</f>
        <v/>
      </c>
      <c r="K53" s="3">
        <f>H53*G53</f>
        <v/>
      </c>
      <c r="L53" s="3" t="n"/>
    </row>
    <row r="54" ht="18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>
        <f>IF(H54=0,"OUT OF STOCK",IF(H54&lt;=I54,"LOW STOCK","In Stock"))</f>
        <v/>
      </c>
      <c r="K54" s="4">
        <f>H54*G54</f>
        <v/>
      </c>
      <c r="L54" s="4" t="n"/>
    </row>
    <row r="55" ht="18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>
        <f>IF(H55=0,"OUT OF STOCK",IF(H55&lt;=I55,"LOW STOCK","In Stock"))</f>
        <v/>
      </c>
      <c r="K55" s="3">
        <f>H55*G55</f>
        <v/>
      </c>
      <c r="L55" s="3" t="n"/>
    </row>
    <row r="56" ht="18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>
        <f>IF(H56=0,"OUT OF STOCK",IF(H56&lt;=I56,"LOW STOCK","In Stock"))</f>
        <v/>
      </c>
      <c r="K56" s="4">
        <f>H56*G56</f>
        <v/>
      </c>
      <c r="L56" s="4" t="n"/>
    </row>
    <row r="57" ht="18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>
        <f>IF(H57=0,"OUT OF STOCK",IF(H57&lt;=I57,"LOW STOCK","In Stock"))</f>
        <v/>
      </c>
      <c r="K57" s="3">
        <f>H57*G57</f>
        <v/>
      </c>
      <c r="L57" s="3" t="n"/>
    </row>
    <row r="58" ht="18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>
        <f>IF(H58=0,"OUT OF STOCK",IF(H58&lt;=I58,"LOW STOCK","In Stock"))</f>
        <v/>
      </c>
      <c r="K58" s="4">
        <f>H58*G58</f>
        <v/>
      </c>
      <c r="L58" s="4" t="n"/>
    </row>
    <row r="59" ht="18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>
        <f>IF(H59=0,"OUT OF STOCK",IF(H59&lt;=I59,"LOW STOCK","In Stock"))</f>
        <v/>
      </c>
      <c r="K59" s="3">
        <f>H59*G59</f>
        <v/>
      </c>
      <c r="L59" s="3" t="n"/>
    </row>
    <row r="60" ht="18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>
        <f>IF(H60=0,"OUT OF STOCK",IF(H60&lt;=I60,"LOW STOCK","In Stock"))</f>
        <v/>
      </c>
      <c r="K60" s="4">
        <f>H60*G60</f>
        <v/>
      </c>
      <c r="L60" s="4" t="n"/>
    </row>
    <row r="61" ht="18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>
        <f>IF(H61=0,"OUT OF STOCK",IF(H61&lt;=I61,"LOW STOCK","In Stock"))</f>
        <v/>
      </c>
      <c r="K61" s="3">
        <f>H61*G61</f>
        <v/>
      </c>
      <c r="L61" s="3" t="n"/>
    </row>
    <row r="62" ht="18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>
        <f>IF(H62=0,"OUT OF STOCK",IF(H62&lt;=I62,"LOW STOCK","In Stock"))</f>
        <v/>
      </c>
      <c r="K62" s="4">
        <f>H62*G62</f>
        <v/>
      </c>
      <c r="L62" s="4" t="n"/>
    </row>
    <row r="63" ht="18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>
        <f>IF(H63=0,"OUT OF STOCK",IF(H63&lt;=I63,"LOW STOCK","In Stock"))</f>
        <v/>
      </c>
      <c r="K63" s="3">
        <f>H63*G63</f>
        <v/>
      </c>
      <c r="L63" s="3" t="n"/>
    </row>
    <row r="64" ht="18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>
        <f>IF(H64=0,"OUT OF STOCK",IF(H64&lt;=I64,"LOW STOCK","In Stock"))</f>
        <v/>
      </c>
      <c r="K64" s="4">
        <f>H64*G64</f>
        <v/>
      </c>
      <c r="L64" s="4" t="n"/>
    </row>
    <row r="65" ht="18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>
        <f>IF(H65=0,"OUT OF STOCK",IF(H65&lt;=I65,"LOW STOCK","In Stock"))</f>
        <v/>
      </c>
      <c r="K65" s="3">
        <f>H65*G65</f>
        <v/>
      </c>
      <c r="L65" s="3" t="n"/>
    </row>
    <row r="66" ht="18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>
        <f>IF(H66=0,"OUT OF STOCK",IF(H66&lt;=I66,"LOW STOCK","In Stock"))</f>
        <v/>
      </c>
      <c r="K66" s="4">
        <f>H66*G66</f>
        <v/>
      </c>
      <c r="L66" s="4" t="n"/>
    </row>
    <row r="67" ht="18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>
        <f>IF(H67=0,"OUT OF STOCK",IF(H67&lt;=I67,"LOW STOCK","In Stock"))</f>
        <v/>
      </c>
      <c r="K67" s="3">
        <f>H67*G67</f>
        <v/>
      </c>
      <c r="L67" s="3" t="n"/>
    </row>
    <row r="68" ht="18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>
        <f>IF(H68=0,"OUT OF STOCK",IF(H68&lt;=I68,"LOW STOCK","In Stock"))</f>
        <v/>
      </c>
      <c r="K68" s="4">
        <f>H68*G68</f>
        <v/>
      </c>
      <c r="L68" s="4" t="n"/>
    </row>
    <row r="69" ht="18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>
        <f>IF(H69=0,"OUT OF STOCK",IF(H69&lt;=I69,"LOW STOCK","In Stock"))</f>
        <v/>
      </c>
      <c r="K69" s="3">
        <f>H69*G69</f>
        <v/>
      </c>
      <c r="L69" s="3" t="n"/>
    </row>
    <row r="70" ht="18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>
        <f>IF(H70=0,"OUT OF STOCK",IF(H70&lt;=I70,"LOW STOCK","In Stock"))</f>
        <v/>
      </c>
      <c r="K70" s="4">
        <f>H70*G70</f>
        <v/>
      </c>
      <c r="L70" s="4" t="n"/>
    </row>
    <row r="71" ht="18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>
        <f>IF(H71=0,"OUT OF STOCK",IF(H71&lt;=I71,"LOW STOCK","In Stock"))</f>
        <v/>
      </c>
      <c r="K71" s="3">
        <f>H71*G71</f>
        <v/>
      </c>
      <c r="L71" s="3" t="n"/>
    </row>
    <row r="72" ht="18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>
        <f>IF(H72=0,"OUT OF STOCK",IF(H72&lt;=I72,"LOW STOCK","In Stock"))</f>
        <v/>
      </c>
      <c r="K72" s="4">
        <f>H72*G72</f>
        <v/>
      </c>
      <c r="L72" s="4" t="n"/>
    </row>
    <row r="73" ht="18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>
        <f>IF(H73=0,"OUT OF STOCK",IF(H73&lt;=I73,"LOW STOCK","In Stock"))</f>
        <v/>
      </c>
      <c r="K73" s="3">
        <f>H73*G73</f>
        <v/>
      </c>
      <c r="L73" s="3" t="n"/>
    </row>
    <row r="74" ht="18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>
        <f>IF(H74=0,"OUT OF STOCK",IF(H74&lt;=I74,"LOW STOCK","In Stock"))</f>
        <v/>
      </c>
      <c r="K74" s="4">
        <f>H74*G74</f>
        <v/>
      </c>
      <c r="L74" s="4" t="n"/>
    </row>
    <row r="75" ht="18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>
        <f>IF(H75=0,"OUT OF STOCK",IF(H75&lt;=I75,"LOW STOCK","In Stock"))</f>
        <v/>
      </c>
      <c r="K75" s="3">
        <f>H75*G75</f>
        <v/>
      </c>
      <c r="L75" s="3" t="n"/>
    </row>
    <row r="76" ht="18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>
        <f>IF(H76=0,"OUT OF STOCK",IF(H76&lt;=I76,"LOW STOCK","In Stock"))</f>
        <v/>
      </c>
      <c r="K76" s="4">
        <f>H76*G76</f>
        <v/>
      </c>
      <c r="L76" s="4" t="n"/>
    </row>
    <row r="77" ht="18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>
        <f>IF(H77=0,"OUT OF STOCK",IF(H77&lt;=I77,"LOW STOCK","In Stock"))</f>
        <v/>
      </c>
      <c r="K77" s="3">
        <f>H77*G77</f>
        <v/>
      </c>
      <c r="L77" s="3" t="n"/>
    </row>
    <row r="78" ht="18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>
        <f>IF(H78=0,"OUT OF STOCK",IF(H78&lt;=I78,"LOW STOCK","In Stock"))</f>
        <v/>
      </c>
      <c r="K78" s="4">
        <f>H78*G78</f>
        <v/>
      </c>
      <c r="L78" s="4" t="n"/>
    </row>
    <row r="79" ht="18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>
        <f>IF(H79=0,"OUT OF STOCK",IF(H79&lt;=I79,"LOW STOCK","In Stock"))</f>
        <v/>
      </c>
      <c r="K79" s="3">
        <f>H79*G79</f>
        <v/>
      </c>
      <c r="L79" s="3" t="n"/>
    </row>
    <row r="80" ht="18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>
        <f>IF(H80=0,"OUT OF STOCK",IF(H80&lt;=I80,"LOW STOCK","In Stock"))</f>
        <v/>
      </c>
      <c r="K80" s="4">
        <f>H80*G80</f>
        <v/>
      </c>
      <c r="L80" s="4" t="n"/>
    </row>
    <row r="81" ht="18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>
        <f>IF(H81=0,"OUT OF STOCK",IF(H81&lt;=I81,"LOW STOCK","In Stock"))</f>
        <v/>
      </c>
      <c r="K81" s="3">
        <f>H81*G81</f>
        <v/>
      </c>
      <c r="L81" s="3" t="n"/>
    </row>
    <row r="82" ht="18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>
        <f>IF(H82=0,"OUT OF STOCK",IF(H82&lt;=I82,"LOW STOCK","In Stock"))</f>
        <v/>
      </c>
      <c r="K82" s="4">
        <f>H82*G82</f>
        <v/>
      </c>
      <c r="L82" s="4" t="n"/>
    </row>
    <row r="83" ht="18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>
        <f>IF(H83=0,"OUT OF STOCK",IF(H83&lt;=I83,"LOW STOCK","In Stock"))</f>
        <v/>
      </c>
      <c r="K83" s="3">
        <f>H83*G83</f>
        <v/>
      </c>
      <c r="L83" s="3" t="n"/>
    </row>
    <row r="84" ht="18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>
        <f>IF(H84=0,"OUT OF STOCK",IF(H84&lt;=I84,"LOW STOCK","In Stock"))</f>
        <v/>
      </c>
      <c r="K84" s="4">
        <f>H84*G84</f>
        <v/>
      </c>
      <c r="L84" s="4" t="n"/>
    </row>
    <row r="85" ht="18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>
        <f>IF(H85=0,"OUT OF STOCK",IF(H85&lt;=I85,"LOW STOCK","In Stock"))</f>
        <v/>
      </c>
      <c r="K85" s="3">
        <f>H85*G85</f>
        <v/>
      </c>
      <c r="L85" s="3" t="n"/>
    </row>
    <row r="86" ht="18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>
        <f>IF(H86=0,"OUT OF STOCK",IF(H86&lt;=I86,"LOW STOCK","In Stock"))</f>
        <v/>
      </c>
      <c r="K86" s="4">
        <f>H86*G86</f>
        <v/>
      </c>
      <c r="L86" s="4" t="n"/>
    </row>
    <row r="87" ht="18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>
        <f>IF(H87=0,"OUT OF STOCK",IF(H87&lt;=I87,"LOW STOCK","In Stock"))</f>
        <v/>
      </c>
      <c r="K87" s="3">
        <f>H87*G87</f>
        <v/>
      </c>
      <c r="L87" s="3" t="n"/>
    </row>
    <row r="88" ht="18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>
        <f>IF(H88=0,"OUT OF STOCK",IF(H88&lt;=I88,"LOW STOCK","In Stock"))</f>
        <v/>
      </c>
      <c r="K88" s="4">
        <f>H88*G88</f>
        <v/>
      </c>
      <c r="L88" s="4" t="n"/>
    </row>
    <row r="89" ht="18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>
        <f>IF(H89=0,"OUT OF STOCK",IF(H89&lt;=I89,"LOW STOCK","In Stock"))</f>
        <v/>
      </c>
      <c r="K89" s="3">
        <f>H89*G89</f>
        <v/>
      </c>
      <c r="L89" s="3" t="n"/>
    </row>
    <row r="90" ht="18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>
        <f>IF(H90=0,"OUT OF STOCK",IF(H90&lt;=I90,"LOW STOCK","In Stock"))</f>
        <v/>
      </c>
      <c r="K90" s="4">
        <f>H90*G90</f>
        <v/>
      </c>
      <c r="L90" s="4" t="n"/>
    </row>
    <row r="91" ht="18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>
        <f>IF(H91=0,"OUT OF STOCK",IF(H91&lt;=I91,"LOW STOCK","In Stock"))</f>
        <v/>
      </c>
      <c r="K91" s="3">
        <f>H91*G91</f>
        <v/>
      </c>
      <c r="L91" s="3" t="n"/>
    </row>
    <row r="92" ht="18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>
        <f>IF(H92=0,"OUT OF STOCK",IF(H92&lt;=I92,"LOW STOCK","In Stock"))</f>
        <v/>
      </c>
      <c r="K92" s="4">
        <f>H92*G92</f>
        <v/>
      </c>
      <c r="L92" s="4" t="n"/>
    </row>
    <row r="93" ht="18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>
        <f>IF(H93=0,"OUT OF STOCK",IF(H93&lt;=I93,"LOW STOCK","In Stock"))</f>
        <v/>
      </c>
      <c r="K93" s="3">
        <f>H93*G93</f>
        <v/>
      </c>
      <c r="L93" s="3" t="n"/>
    </row>
    <row r="94" ht="18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>
        <f>IF(H94=0,"OUT OF STOCK",IF(H94&lt;=I94,"LOW STOCK","In Stock"))</f>
        <v/>
      </c>
      <c r="K94" s="4">
        <f>H94*G94</f>
        <v/>
      </c>
      <c r="L94" s="4" t="n"/>
    </row>
    <row r="95" ht="18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>
        <f>IF(H95=0,"OUT OF STOCK",IF(H95&lt;=I95,"LOW STOCK","In Stock"))</f>
        <v/>
      </c>
      <c r="K95" s="3">
        <f>H95*G95</f>
        <v/>
      </c>
      <c r="L95" s="3" t="n"/>
    </row>
    <row r="96" ht="18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>
        <f>IF(H96=0,"OUT OF STOCK",IF(H96&lt;=I96,"LOW STOCK","In Stock"))</f>
        <v/>
      </c>
      <c r="K96" s="4">
        <f>H96*G96</f>
        <v/>
      </c>
      <c r="L96" s="4" t="n"/>
    </row>
    <row r="97" ht="18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>
        <f>IF(H97=0,"OUT OF STOCK",IF(H97&lt;=I97,"LOW STOCK","In Stock"))</f>
        <v/>
      </c>
      <c r="K97" s="3">
        <f>H97*G97</f>
        <v/>
      </c>
      <c r="L97" s="3" t="n"/>
    </row>
    <row r="98" ht="18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>
        <f>IF(H98=0,"OUT OF STOCK",IF(H98&lt;=I98,"LOW STOCK","In Stock"))</f>
        <v/>
      </c>
      <c r="K98" s="4">
        <f>H98*G98</f>
        <v/>
      </c>
      <c r="L98" s="4" t="n"/>
    </row>
    <row r="99" ht="18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>
        <f>IF(H99=0,"OUT OF STOCK",IF(H99&lt;=I99,"LOW STOCK","In Stock"))</f>
        <v/>
      </c>
      <c r="K99" s="3">
        <f>H99*G99</f>
        <v/>
      </c>
      <c r="L99" s="3" t="n"/>
    </row>
    <row r="100" ht="18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>
        <f>IF(H100=0,"OUT OF STOCK",IF(H100&lt;=I100,"LOW STOCK","In Stock"))</f>
        <v/>
      </c>
      <c r="K100" s="4">
        <f>H100*G100</f>
        <v/>
      </c>
      <c r="L100" s="4" t="n"/>
    </row>
    <row r="101" ht="18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>
        <f>IF(H101=0,"OUT OF STOCK",IF(H101&lt;=I101,"LOW STOCK","In Stock"))</f>
        <v/>
      </c>
      <c r="K101" s="3">
        <f>H101*G101</f>
        <v/>
      </c>
      <c r="L101" s="3" t="n"/>
    </row>
    <row r="102" ht="18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>
        <f>IF(H102=0,"OUT OF STOCK",IF(H102&lt;=I102,"LOW STOCK","In Stock"))</f>
        <v/>
      </c>
      <c r="K102" s="4">
        <f>H102*G102</f>
        <v/>
      </c>
      <c r="L102" s="4" t="n"/>
    </row>
    <row r="103" ht="18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>
        <f>IF(H103=0,"OUT OF STOCK",IF(H103&lt;=I103,"LOW STOCK","In Stock"))</f>
        <v/>
      </c>
      <c r="K103" s="3">
        <f>H103*G103</f>
        <v/>
      </c>
      <c r="L103" s="3" t="n"/>
    </row>
    <row r="104" ht="18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>
        <f>IF(H104=0,"OUT OF STOCK",IF(H104&lt;=I104,"LOW STOCK","In Stock"))</f>
        <v/>
      </c>
      <c r="K104" s="4">
        <f>H104*G104</f>
        <v/>
      </c>
      <c r="L104" s="4" t="n"/>
    </row>
    <row r="105" ht="18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>
        <f>IF(H105=0,"OUT OF STOCK",IF(H105&lt;=I105,"LOW STOCK","In Stock"))</f>
        <v/>
      </c>
      <c r="K105" s="3">
        <f>H105*G105</f>
        <v/>
      </c>
      <c r="L105" s="3" t="n"/>
    </row>
    <row r="106" ht="18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>
        <f>IF(H106=0,"OUT OF STOCK",IF(H106&lt;=I106,"LOW STOCK","In Stock"))</f>
        <v/>
      </c>
      <c r="K106" s="4">
        <f>H106*G106</f>
        <v/>
      </c>
      <c r="L106" s="4" t="n"/>
    </row>
    <row r="107" ht="18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>
        <f>IF(H107=0,"OUT OF STOCK",IF(H107&lt;=I107,"LOW STOCK","In Stock"))</f>
        <v/>
      </c>
      <c r="K107" s="3">
        <f>H107*G107</f>
        <v/>
      </c>
      <c r="L107" s="3" t="n"/>
    </row>
    <row r="108" ht="18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>
        <f>IF(H108=0,"OUT OF STOCK",IF(H108&lt;=I108,"LOW STOCK","In Stock"))</f>
        <v/>
      </c>
      <c r="K108" s="4">
        <f>H108*G108</f>
        <v/>
      </c>
      <c r="L108" s="4" t="n"/>
    </row>
    <row r="109" ht="18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>
        <f>IF(H109=0,"OUT OF STOCK",IF(H109&lt;=I109,"LOW STOCK","In Stock"))</f>
        <v/>
      </c>
      <c r="K109" s="3">
        <f>H109*G109</f>
        <v/>
      </c>
      <c r="L109" s="3" t="n"/>
    </row>
    <row r="110" ht="18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>
        <f>IF(H110=0,"OUT OF STOCK",IF(H110&lt;=I110,"LOW STOCK","In Stock"))</f>
        <v/>
      </c>
      <c r="K110" s="4">
        <f>H110*G110</f>
        <v/>
      </c>
      <c r="L110" s="4" t="n"/>
    </row>
    <row r="111" ht="18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>
        <f>IF(H111=0,"OUT OF STOCK",IF(H111&lt;=I111,"LOW STOCK","In Stock"))</f>
        <v/>
      </c>
      <c r="K111" s="3">
        <f>H111*G111</f>
        <v/>
      </c>
      <c r="L111" s="3" t="n"/>
    </row>
    <row r="112" ht="18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>
        <f>IF(H112=0,"OUT OF STOCK",IF(H112&lt;=I112,"LOW STOCK","In Stock"))</f>
        <v/>
      </c>
      <c r="K112" s="4">
        <f>H112*G112</f>
        <v/>
      </c>
      <c r="L112" s="4" t="n"/>
    </row>
    <row r="113" ht="18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>
        <f>IF(H113=0,"OUT OF STOCK",IF(H113&lt;=I113,"LOW STOCK","In Stock"))</f>
        <v/>
      </c>
      <c r="K113" s="3">
        <f>H113*G113</f>
        <v/>
      </c>
      <c r="L113" s="3" t="n"/>
    </row>
    <row r="114" ht="18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>
        <f>IF(H114=0,"OUT OF STOCK",IF(H114&lt;=I114,"LOW STOCK","In Stock"))</f>
        <v/>
      </c>
      <c r="K114" s="4">
        <f>H114*G114</f>
        <v/>
      </c>
      <c r="L114" s="4" t="n"/>
    </row>
    <row r="115" ht="18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>
        <f>IF(H115=0,"OUT OF STOCK",IF(H115&lt;=I115,"LOW STOCK","In Stock"))</f>
        <v/>
      </c>
      <c r="K115" s="3">
        <f>H115*G115</f>
        <v/>
      </c>
      <c r="L115" s="3" t="n"/>
    </row>
    <row r="116" ht="18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>
        <f>IF(H116=0,"OUT OF STOCK",IF(H116&lt;=I116,"LOW STOCK","In Stock"))</f>
        <v/>
      </c>
      <c r="K116" s="4">
        <f>H116*G116</f>
        <v/>
      </c>
      <c r="L116" s="4" t="n"/>
    </row>
    <row r="117" ht="18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>
        <f>IF(H117=0,"OUT OF STOCK",IF(H117&lt;=I117,"LOW STOCK","In Stock"))</f>
        <v/>
      </c>
      <c r="K117" s="3">
        <f>H117*G117</f>
        <v/>
      </c>
      <c r="L117" s="3" t="n"/>
    </row>
    <row r="118" ht="18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>
        <f>IF(H118=0,"OUT OF STOCK",IF(H118&lt;=I118,"LOW STOCK","In Stock"))</f>
        <v/>
      </c>
      <c r="K118" s="4">
        <f>H118*G118</f>
        <v/>
      </c>
      <c r="L118" s="4" t="n"/>
    </row>
    <row r="119" ht="18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>
        <f>IF(H119=0,"OUT OF STOCK",IF(H119&lt;=I119,"LOW STOCK","In Stock"))</f>
        <v/>
      </c>
      <c r="K119" s="3">
        <f>H119*G119</f>
        <v/>
      </c>
      <c r="L119" s="3" t="n"/>
    </row>
    <row r="120" ht="18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>
        <f>IF(H120=0,"OUT OF STOCK",IF(H120&lt;=I120,"LOW STOCK","In Stock"))</f>
        <v/>
      </c>
      <c r="K120" s="4">
        <f>H120*G120</f>
        <v/>
      </c>
      <c r="L120" s="4" t="n"/>
    </row>
    <row r="121" ht="18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>
        <f>IF(H121=0,"OUT OF STOCK",IF(H121&lt;=I121,"LOW STOCK","In Stock"))</f>
        <v/>
      </c>
      <c r="K121" s="3">
        <f>H121*G121</f>
        <v/>
      </c>
      <c r="L121" s="3" t="n"/>
    </row>
    <row r="122" ht="18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>
        <f>IF(H122=0,"OUT OF STOCK",IF(H122&lt;=I122,"LOW STOCK","In Stock"))</f>
        <v/>
      </c>
      <c r="K122" s="4">
        <f>H122*G122</f>
        <v/>
      </c>
      <c r="L122" s="4" t="n"/>
    </row>
    <row r="123" ht="18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>
        <f>IF(H123=0,"OUT OF STOCK",IF(H123&lt;=I123,"LOW STOCK","In Stock"))</f>
        <v/>
      </c>
      <c r="K123" s="3">
        <f>H123*G123</f>
        <v/>
      </c>
      <c r="L123" s="3" t="n"/>
    </row>
    <row r="124" ht="18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>
        <f>IF(H124=0,"OUT OF STOCK",IF(H124&lt;=I124,"LOW STOCK","In Stock"))</f>
        <v/>
      </c>
      <c r="K124" s="4">
        <f>H124*G124</f>
        <v/>
      </c>
      <c r="L124" s="4" t="n"/>
    </row>
    <row r="125" ht="18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>
        <f>IF(H125=0,"OUT OF STOCK",IF(H125&lt;=I125,"LOW STOCK","In Stock"))</f>
        <v/>
      </c>
      <c r="K125" s="3">
        <f>H125*G125</f>
        <v/>
      </c>
      <c r="L125" s="3" t="n"/>
    </row>
    <row r="126" ht="18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>
        <f>IF(H126=0,"OUT OF STOCK",IF(H126&lt;=I126,"LOW STOCK","In Stock"))</f>
        <v/>
      </c>
      <c r="K126" s="4">
        <f>H126*G126</f>
        <v/>
      </c>
      <c r="L126" s="4" t="n"/>
    </row>
    <row r="127" ht="18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>
        <f>IF(H127=0,"OUT OF STOCK",IF(H127&lt;=I127,"LOW STOCK","In Stock"))</f>
        <v/>
      </c>
      <c r="K127" s="3">
        <f>H127*G127</f>
        <v/>
      </c>
      <c r="L127" s="3" t="n"/>
    </row>
    <row r="128" ht="18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>
        <f>IF(H128=0,"OUT OF STOCK",IF(H128&lt;=I128,"LOW STOCK","In Stock"))</f>
        <v/>
      </c>
      <c r="K128" s="4">
        <f>H128*G128</f>
        <v/>
      </c>
      <c r="L128" s="4" t="n"/>
    </row>
    <row r="129" ht="18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>
        <f>IF(H129=0,"OUT OF STOCK",IF(H129&lt;=I129,"LOW STOCK","In Stock"))</f>
        <v/>
      </c>
      <c r="K129" s="3">
        <f>H129*G129</f>
        <v/>
      </c>
      <c r="L129" s="3" t="n"/>
    </row>
    <row r="130" ht="18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>
        <f>IF(H130=0,"OUT OF STOCK",IF(H130&lt;=I130,"LOW STOCK","In Stock"))</f>
        <v/>
      </c>
      <c r="K130" s="4">
        <f>H130*G130</f>
        <v/>
      </c>
      <c r="L130" s="4" t="n"/>
    </row>
    <row r="131" ht="18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>
        <f>IF(H131=0,"OUT OF STOCK",IF(H131&lt;=I131,"LOW STOCK","In Stock"))</f>
        <v/>
      </c>
      <c r="K131" s="3">
        <f>H131*G131</f>
        <v/>
      </c>
      <c r="L131" s="3" t="n"/>
    </row>
    <row r="132" ht="18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>
        <f>IF(H132=0,"OUT OF STOCK",IF(H132&lt;=I132,"LOW STOCK","In Stock"))</f>
        <v/>
      </c>
      <c r="K132" s="4">
        <f>H132*G132</f>
        <v/>
      </c>
      <c r="L132" s="4" t="n"/>
    </row>
    <row r="133" ht="18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>
        <f>IF(H133=0,"OUT OF STOCK",IF(H133&lt;=I133,"LOW STOCK","In Stock"))</f>
        <v/>
      </c>
      <c r="K133" s="3">
        <f>H133*G133</f>
        <v/>
      </c>
      <c r="L133" s="3" t="n"/>
    </row>
    <row r="134" ht="18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>
        <f>IF(H134=0,"OUT OF STOCK",IF(H134&lt;=I134,"LOW STOCK","In Stock"))</f>
        <v/>
      </c>
      <c r="K134" s="4">
        <f>H134*G134</f>
        <v/>
      </c>
      <c r="L134" s="4" t="n"/>
    </row>
    <row r="135" ht="18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>
        <f>IF(H135=0,"OUT OF STOCK",IF(H135&lt;=I135,"LOW STOCK","In Stock"))</f>
        <v/>
      </c>
      <c r="K135" s="3">
        <f>H135*G135</f>
        <v/>
      </c>
      <c r="L135" s="3" t="n"/>
    </row>
    <row r="136" ht="18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>
        <f>IF(H136=0,"OUT OF STOCK",IF(H136&lt;=I136,"LOW STOCK","In Stock"))</f>
        <v/>
      </c>
      <c r="K136" s="4">
        <f>H136*G136</f>
        <v/>
      </c>
      <c r="L136" s="4" t="n"/>
    </row>
    <row r="137" ht="18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>
        <f>IF(H137=0,"OUT OF STOCK",IF(H137&lt;=I137,"LOW STOCK","In Stock"))</f>
        <v/>
      </c>
      <c r="K137" s="3">
        <f>H137*G137</f>
        <v/>
      </c>
      <c r="L137" s="3" t="n"/>
    </row>
    <row r="138" ht="18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>
        <f>IF(H138=0,"OUT OF STOCK",IF(H138&lt;=I138,"LOW STOCK","In Stock"))</f>
        <v/>
      </c>
      <c r="K138" s="4">
        <f>H138*G138</f>
        <v/>
      </c>
      <c r="L138" s="4" t="n"/>
    </row>
    <row r="139" ht="18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>
        <f>IF(H139=0,"OUT OF STOCK",IF(H139&lt;=I139,"LOW STOCK","In Stock"))</f>
        <v/>
      </c>
      <c r="K139" s="3">
        <f>H139*G139</f>
        <v/>
      </c>
      <c r="L139" s="3" t="n"/>
    </row>
    <row r="140" ht="18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>
        <f>IF(H140=0,"OUT OF STOCK",IF(H140&lt;=I140,"LOW STOCK","In Stock"))</f>
        <v/>
      </c>
      <c r="K140" s="4">
        <f>H140*G140</f>
        <v/>
      </c>
      <c r="L140" s="4" t="n"/>
    </row>
    <row r="141" ht="18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>
        <f>IF(H141=0,"OUT OF STOCK",IF(H141&lt;=I141,"LOW STOCK","In Stock"))</f>
        <v/>
      </c>
      <c r="K141" s="3">
        <f>H141*G141</f>
        <v/>
      </c>
      <c r="L141" s="3" t="n"/>
    </row>
    <row r="142" ht="18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>
        <f>IF(H142=0,"OUT OF STOCK",IF(H142&lt;=I142,"LOW STOCK","In Stock"))</f>
        <v/>
      </c>
      <c r="K142" s="4">
        <f>H142*G142</f>
        <v/>
      </c>
      <c r="L142" s="4" t="n"/>
    </row>
    <row r="143" ht="18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>
        <f>IF(H143=0,"OUT OF STOCK",IF(H143&lt;=I143,"LOW STOCK","In Stock"))</f>
        <v/>
      </c>
      <c r="K143" s="3">
        <f>H143*G143</f>
        <v/>
      </c>
      <c r="L143" s="3" t="n"/>
    </row>
    <row r="144" ht="18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>
        <f>IF(H144=0,"OUT OF STOCK",IF(H144&lt;=I144,"LOW STOCK","In Stock"))</f>
        <v/>
      </c>
      <c r="K144" s="4">
        <f>H144*G144</f>
        <v/>
      </c>
      <c r="L144" s="4" t="n"/>
    </row>
    <row r="145" ht="18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>
        <f>IF(H145=0,"OUT OF STOCK",IF(H145&lt;=I145,"LOW STOCK","In Stock"))</f>
        <v/>
      </c>
      <c r="K145" s="3">
        <f>H145*G145</f>
        <v/>
      </c>
      <c r="L145" s="3" t="n"/>
    </row>
    <row r="146" ht="18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>
        <f>IF(H146=0,"OUT OF STOCK",IF(H146&lt;=I146,"LOW STOCK","In Stock"))</f>
        <v/>
      </c>
      <c r="K146" s="4">
        <f>H146*G146</f>
        <v/>
      </c>
      <c r="L146" s="4" t="n"/>
    </row>
    <row r="147" ht="18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>
        <f>IF(H147=0,"OUT OF STOCK",IF(H147&lt;=I147,"LOW STOCK","In Stock"))</f>
        <v/>
      </c>
      <c r="K147" s="3">
        <f>H147*G147</f>
        <v/>
      </c>
      <c r="L147" s="3" t="n"/>
    </row>
    <row r="148" ht="18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>
        <f>IF(H148=0,"OUT OF STOCK",IF(H148&lt;=I148,"LOW STOCK","In Stock"))</f>
        <v/>
      </c>
      <c r="K148" s="4">
        <f>H148*G148</f>
        <v/>
      </c>
      <c r="L148" s="4" t="n"/>
    </row>
    <row r="149" ht="18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>
        <f>IF(H149=0,"OUT OF STOCK",IF(H149&lt;=I149,"LOW STOCK","In Stock"))</f>
        <v/>
      </c>
      <c r="K149" s="3">
        <f>H149*G149</f>
        <v/>
      </c>
      <c r="L149" s="3" t="n"/>
    </row>
    <row r="150" ht="18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>
        <f>IF(H150=0,"OUT OF STOCK",IF(H150&lt;=I150,"LOW STOCK","In Stock"))</f>
        <v/>
      </c>
      <c r="K150" s="4">
        <f>H150*G150</f>
        <v/>
      </c>
      <c r="L150" s="4" t="n"/>
    </row>
    <row r="151" ht="18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>
        <f>IF(H151=0,"OUT OF STOCK",IF(H151&lt;=I151,"LOW STOCK","In Stock"))</f>
        <v/>
      </c>
      <c r="K151" s="3">
        <f>H151*G151</f>
        <v/>
      </c>
      <c r="L151" s="3" t="n"/>
    </row>
    <row r="152" ht="18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>
        <f>IF(H152=0,"OUT OF STOCK",IF(H152&lt;=I152,"LOW STOCK","In Stock"))</f>
        <v/>
      </c>
      <c r="K152" s="4">
        <f>H152*G152</f>
        <v/>
      </c>
      <c r="L152" s="4" t="n"/>
    </row>
    <row r="153" ht="18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>
        <f>IF(H153=0,"OUT OF STOCK",IF(H153&lt;=I153,"LOW STOCK","In Stock"))</f>
        <v/>
      </c>
      <c r="K153" s="3">
        <f>H153*G153</f>
        <v/>
      </c>
      <c r="L153" s="3" t="n"/>
    </row>
    <row r="154" ht="18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>
        <f>IF(H154=0,"OUT OF STOCK",IF(H154&lt;=I154,"LOW STOCK","In Stock"))</f>
        <v/>
      </c>
      <c r="K154" s="4">
        <f>H154*G154</f>
        <v/>
      </c>
      <c r="L154" s="4" t="n"/>
    </row>
    <row r="155" ht="18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>
        <f>IF(H155=0,"OUT OF STOCK",IF(H155&lt;=I155,"LOW STOCK","In Stock"))</f>
        <v/>
      </c>
      <c r="K155" s="3">
        <f>H155*G155</f>
        <v/>
      </c>
      <c r="L155" s="3" t="n"/>
    </row>
    <row r="156" ht="18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>
        <f>IF(H156=0,"OUT OF STOCK",IF(H156&lt;=I156,"LOW STOCK","In Stock"))</f>
        <v/>
      </c>
      <c r="K156" s="4">
        <f>H156*G156</f>
        <v/>
      </c>
      <c r="L156" s="4" t="n"/>
    </row>
    <row r="157" ht="18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>
        <f>IF(H157=0,"OUT OF STOCK",IF(H157&lt;=I157,"LOW STOCK","In Stock"))</f>
        <v/>
      </c>
      <c r="K157" s="3">
        <f>H157*G157</f>
        <v/>
      </c>
      <c r="L157" s="3" t="n"/>
    </row>
    <row r="158" ht="18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>
        <f>IF(H158=0,"OUT OF STOCK",IF(H158&lt;=I158,"LOW STOCK","In Stock"))</f>
        <v/>
      </c>
      <c r="K158" s="4">
        <f>H158*G158</f>
        <v/>
      </c>
      <c r="L158" s="4" t="n"/>
    </row>
    <row r="159" ht="18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>
        <f>IF(H159=0,"OUT OF STOCK",IF(H159&lt;=I159,"LOW STOCK","In Stock"))</f>
        <v/>
      </c>
      <c r="K159" s="3">
        <f>H159*G159</f>
        <v/>
      </c>
      <c r="L159" s="3" t="n"/>
    </row>
    <row r="160" ht="18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>
        <f>IF(H160=0,"OUT OF STOCK",IF(H160&lt;=I160,"LOW STOCK","In Stock"))</f>
        <v/>
      </c>
      <c r="K160" s="4">
        <f>H160*G160</f>
        <v/>
      </c>
      <c r="L160" s="4" t="n"/>
    </row>
    <row r="161" ht="18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>
        <f>IF(H161=0,"OUT OF STOCK",IF(H161&lt;=I161,"LOW STOCK","In Stock"))</f>
        <v/>
      </c>
      <c r="K161" s="3">
        <f>H161*G161</f>
        <v/>
      </c>
      <c r="L161" s="3" t="n"/>
    </row>
    <row r="162" ht="18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>
        <f>IF(H162=0,"OUT OF STOCK",IF(H162&lt;=I162,"LOW STOCK","In Stock"))</f>
        <v/>
      </c>
      <c r="K162" s="4">
        <f>H162*G162</f>
        <v/>
      </c>
      <c r="L162" s="4" t="n"/>
    </row>
    <row r="163" ht="18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>
        <f>IF(H163=0,"OUT OF STOCK",IF(H163&lt;=I163,"LOW STOCK","In Stock"))</f>
        <v/>
      </c>
      <c r="K163" s="3">
        <f>H163*G163</f>
        <v/>
      </c>
      <c r="L163" s="3" t="n"/>
    </row>
    <row r="164" ht="18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>
        <f>IF(H164=0,"OUT OF STOCK",IF(H164&lt;=I164,"LOW STOCK","In Stock"))</f>
        <v/>
      </c>
      <c r="K164" s="4">
        <f>H164*G164</f>
        <v/>
      </c>
      <c r="L164" s="4" t="n"/>
    </row>
    <row r="165" ht="18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>
        <f>IF(H165=0,"OUT OF STOCK",IF(H165&lt;=I165,"LOW STOCK","In Stock"))</f>
        <v/>
      </c>
      <c r="K165" s="3">
        <f>H165*G165</f>
        <v/>
      </c>
      <c r="L165" s="3" t="n"/>
    </row>
    <row r="166" ht="18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>
        <f>IF(H166=0,"OUT OF STOCK",IF(H166&lt;=I166,"LOW STOCK","In Stock"))</f>
        <v/>
      </c>
      <c r="K166" s="4">
        <f>H166*G166</f>
        <v/>
      </c>
      <c r="L166" s="4" t="n"/>
    </row>
    <row r="167" ht="18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>
        <f>IF(H167=0,"OUT OF STOCK",IF(H167&lt;=I167,"LOW STOCK","In Stock"))</f>
        <v/>
      </c>
      <c r="K167" s="3">
        <f>H167*G167</f>
        <v/>
      </c>
      <c r="L167" s="3" t="n"/>
    </row>
    <row r="168" ht="18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>
        <f>IF(H168=0,"OUT OF STOCK",IF(H168&lt;=I168,"LOW STOCK","In Stock"))</f>
        <v/>
      </c>
      <c r="K168" s="4">
        <f>H168*G168</f>
        <v/>
      </c>
      <c r="L168" s="4" t="n"/>
    </row>
    <row r="169" ht="18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>
        <f>IF(H169=0,"OUT OF STOCK",IF(H169&lt;=I169,"LOW STOCK","In Stock"))</f>
        <v/>
      </c>
      <c r="K169" s="3">
        <f>H169*G169</f>
        <v/>
      </c>
      <c r="L169" s="3" t="n"/>
    </row>
    <row r="170" ht="18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>
        <f>IF(H170=0,"OUT OF STOCK",IF(H170&lt;=I170,"LOW STOCK","In Stock"))</f>
        <v/>
      </c>
      <c r="K170" s="4">
        <f>H170*G170</f>
        <v/>
      </c>
      <c r="L170" s="4" t="n"/>
    </row>
    <row r="171" ht="18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>
        <f>IF(H171=0,"OUT OF STOCK",IF(H171&lt;=I171,"LOW STOCK","In Stock"))</f>
        <v/>
      </c>
      <c r="K171" s="3">
        <f>H171*G171</f>
        <v/>
      </c>
      <c r="L171" s="3" t="n"/>
    </row>
    <row r="172" ht="18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>
        <f>IF(H172=0,"OUT OF STOCK",IF(H172&lt;=I172,"LOW STOCK","In Stock"))</f>
        <v/>
      </c>
      <c r="K172" s="4">
        <f>H172*G172</f>
        <v/>
      </c>
      <c r="L172" s="4" t="n"/>
    </row>
    <row r="173" ht="18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>
        <f>IF(H173=0,"OUT OF STOCK",IF(H173&lt;=I173,"LOW STOCK","In Stock"))</f>
        <v/>
      </c>
      <c r="K173" s="3">
        <f>H173*G173</f>
        <v/>
      </c>
      <c r="L173" s="3" t="n"/>
    </row>
    <row r="174" ht="18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>
        <f>IF(H174=0,"OUT OF STOCK",IF(H174&lt;=I174,"LOW STOCK","In Stock"))</f>
        <v/>
      </c>
      <c r="K174" s="4">
        <f>H174*G174</f>
        <v/>
      </c>
      <c r="L174" s="4" t="n"/>
    </row>
    <row r="175" ht="18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>
        <f>IF(H175=0,"OUT OF STOCK",IF(H175&lt;=I175,"LOW STOCK","In Stock"))</f>
        <v/>
      </c>
      <c r="K175" s="3">
        <f>H175*G175</f>
        <v/>
      </c>
      <c r="L175" s="3" t="n"/>
    </row>
    <row r="176" ht="18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>
        <f>IF(H176=0,"OUT OF STOCK",IF(H176&lt;=I176,"LOW STOCK","In Stock"))</f>
        <v/>
      </c>
      <c r="K176" s="4">
        <f>H176*G176</f>
        <v/>
      </c>
      <c r="L176" s="4" t="n"/>
    </row>
    <row r="177" ht="18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>
        <f>IF(H177=0,"OUT OF STOCK",IF(H177&lt;=I177,"LOW STOCK","In Stock"))</f>
        <v/>
      </c>
      <c r="K177" s="3">
        <f>H177*G177</f>
        <v/>
      </c>
      <c r="L177" s="3" t="n"/>
    </row>
    <row r="178" ht="18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>
        <f>IF(H178=0,"OUT OF STOCK",IF(H178&lt;=I178,"LOW STOCK","In Stock"))</f>
        <v/>
      </c>
      <c r="K178" s="4">
        <f>H178*G178</f>
        <v/>
      </c>
      <c r="L178" s="4" t="n"/>
    </row>
    <row r="179" ht="18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>
        <f>IF(H179=0,"OUT OF STOCK",IF(H179&lt;=I179,"LOW STOCK","In Stock"))</f>
        <v/>
      </c>
      <c r="K179" s="3">
        <f>H179*G179</f>
        <v/>
      </c>
      <c r="L179" s="3" t="n"/>
    </row>
    <row r="180" ht="18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>
        <f>IF(H180=0,"OUT OF STOCK",IF(H180&lt;=I180,"LOW STOCK","In Stock"))</f>
        <v/>
      </c>
      <c r="K180" s="4">
        <f>H180*G180</f>
        <v/>
      </c>
      <c r="L180" s="4" t="n"/>
    </row>
    <row r="181" ht="18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>
        <f>IF(H181=0,"OUT OF STOCK",IF(H181&lt;=I181,"LOW STOCK","In Stock"))</f>
        <v/>
      </c>
      <c r="K181" s="3">
        <f>H181*G181</f>
        <v/>
      </c>
      <c r="L181" s="3" t="n"/>
    </row>
    <row r="182" ht="18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>
        <f>IF(H182=0,"OUT OF STOCK",IF(H182&lt;=I182,"LOW STOCK","In Stock"))</f>
        <v/>
      </c>
      <c r="K182" s="4">
        <f>H182*G182</f>
        <v/>
      </c>
      <c r="L182" s="4" t="n"/>
    </row>
    <row r="183" ht="18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>
        <f>IF(H183=0,"OUT OF STOCK",IF(H183&lt;=I183,"LOW STOCK","In Stock"))</f>
        <v/>
      </c>
      <c r="K183" s="3">
        <f>H183*G183</f>
        <v/>
      </c>
      <c r="L183" s="3" t="n"/>
    </row>
    <row r="184" ht="18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>
        <f>IF(H184=0,"OUT OF STOCK",IF(H184&lt;=I184,"LOW STOCK","In Stock"))</f>
        <v/>
      </c>
      <c r="K184" s="4">
        <f>H184*G184</f>
        <v/>
      </c>
      <c r="L184" s="4" t="n"/>
    </row>
    <row r="185" ht="18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>
        <f>IF(H185=0,"OUT OF STOCK",IF(H185&lt;=I185,"LOW STOCK","In Stock"))</f>
        <v/>
      </c>
      <c r="K185" s="3">
        <f>H185*G185</f>
        <v/>
      </c>
      <c r="L185" s="3" t="n"/>
    </row>
    <row r="186" ht="18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>
        <f>IF(H186=0,"OUT OF STOCK",IF(H186&lt;=I186,"LOW STOCK","In Stock"))</f>
        <v/>
      </c>
      <c r="K186" s="4">
        <f>H186*G186</f>
        <v/>
      </c>
      <c r="L186" s="4" t="n"/>
    </row>
    <row r="187" ht="18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>
        <f>IF(H187=0,"OUT OF STOCK",IF(H187&lt;=I187,"LOW STOCK","In Stock"))</f>
        <v/>
      </c>
      <c r="K187" s="3">
        <f>H187*G187</f>
        <v/>
      </c>
      <c r="L187" s="3" t="n"/>
    </row>
    <row r="188" ht="18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>
        <f>IF(H188=0,"OUT OF STOCK",IF(H188&lt;=I188,"LOW STOCK","In Stock"))</f>
        <v/>
      </c>
      <c r="K188" s="4">
        <f>H188*G188</f>
        <v/>
      </c>
      <c r="L188" s="4" t="n"/>
    </row>
    <row r="189" ht="18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>
        <f>IF(H189=0,"OUT OF STOCK",IF(H189&lt;=I189,"LOW STOCK","In Stock"))</f>
        <v/>
      </c>
      <c r="K189" s="3">
        <f>H189*G189</f>
        <v/>
      </c>
      <c r="L189" s="3" t="n"/>
    </row>
    <row r="190" ht="18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>
        <f>IF(H190=0,"OUT OF STOCK",IF(H190&lt;=I190,"LOW STOCK","In Stock"))</f>
        <v/>
      </c>
      <c r="K190" s="4">
        <f>H190*G190</f>
        <v/>
      </c>
      <c r="L190" s="4" t="n"/>
    </row>
    <row r="191" ht="18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>
        <f>IF(H191=0,"OUT OF STOCK",IF(H191&lt;=I191,"LOW STOCK","In Stock"))</f>
        <v/>
      </c>
      <c r="K191" s="3">
        <f>H191*G191</f>
        <v/>
      </c>
      <c r="L191" s="3" t="n"/>
    </row>
    <row r="192" ht="18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>
        <f>IF(H192=0,"OUT OF STOCK",IF(H192&lt;=I192,"LOW STOCK","In Stock"))</f>
        <v/>
      </c>
      <c r="K192" s="4">
        <f>H192*G192</f>
        <v/>
      </c>
      <c r="L192" s="4" t="n"/>
    </row>
    <row r="193" ht="18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>
        <f>IF(H193=0,"OUT OF STOCK",IF(H193&lt;=I193,"LOW STOCK","In Stock"))</f>
        <v/>
      </c>
      <c r="K193" s="3">
        <f>H193*G193</f>
        <v/>
      </c>
      <c r="L193" s="3" t="n"/>
    </row>
    <row r="194" ht="18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>
        <f>IF(H194=0,"OUT OF STOCK",IF(H194&lt;=I194,"LOW STOCK","In Stock"))</f>
        <v/>
      </c>
      <c r="K194" s="4">
        <f>H194*G194</f>
        <v/>
      </c>
      <c r="L194" s="4" t="n"/>
    </row>
    <row r="195" ht="18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>
        <f>IF(H195=0,"OUT OF STOCK",IF(H195&lt;=I195,"LOW STOCK","In Stock"))</f>
        <v/>
      </c>
      <c r="K195" s="3">
        <f>H195*G195</f>
        <v/>
      </c>
      <c r="L195" s="3" t="n"/>
    </row>
    <row r="196" ht="18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>
        <f>IF(H196=0,"OUT OF STOCK",IF(H196&lt;=I196,"LOW STOCK","In Stock"))</f>
        <v/>
      </c>
      <c r="K196" s="4">
        <f>H196*G196</f>
        <v/>
      </c>
      <c r="L196" s="4" t="n"/>
    </row>
    <row r="197" ht="18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>
        <f>IF(H197=0,"OUT OF STOCK",IF(H197&lt;=I197,"LOW STOCK","In Stock"))</f>
        <v/>
      </c>
      <c r="K197" s="3">
        <f>H197*G197</f>
        <v/>
      </c>
      <c r="L197" s="3" t="n"/>
    </row>
    <row r="198" ht="18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>
        <f>IF(H198=0,"OUT OF STOCK",IF(H198&lt;=I198,"LOW STOCK","In Stock"))</f>
        <v/>
      </c>
      <c r="K198" s="4">
        <f>H198*G198</f>
        <v/>
      </c>
      <c r="L198" s="4" t="n"/>
    </row>
    <row r="199" ht="18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>
        <f>IF(H199=0,"OUT OF STOCK",IF(H199&lt;=I199,"LOW STOCK","In Stock"))</f>
        <v/>
      </c>
      <c r="K199" s="3">
        <f>H199*G199</f>
        <v/>
      </c>
      <c r="L199" s="3" t="n"/>
    </row>
    <row r="200" ht="18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>
        <f>IF(H200=0,"OUT OF STOCK",IF(H200&lt;=I200,"LOW STOCK","In Stock"))</f>
        <v/>
      </c>
      <c r="K200" s="4">
        <f>H200*G200</f>
        <v/>
      </c>
      <c r="L200" s="4" t="n"/>
    </row>
    <row r="201" ht="18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>
        <f>IF(H201=0,"OUT OF STOCK",IF(H201&lt;=I201,"LOW STOCK","In Stock"))</f>
        <v/>
      </c>
      <c r="K201" s="3">
        <f>H201*G201</f>
        <v/>
      </c>
      <c r="L201" s="3" t="n"/>
    </row>
    <row r="202" ht="18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>
        <f>IF(H202=0,"OUT OF STOCK",IF(H202&lt;=I202,"LOW STOCK","In Stock"))</f>
        <v/>
      </c>
      <c r="K202" s="4">
        <f>H202*G202</f>
        <v/>
      </c>
      <c r="L202" s="4" t="n"/>
    </row>
    <row r="203" ht="18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>
        <f>IF(H203=0,"OUT OF STOCK",IF(H203&lt;=I203,"LOW STOCK","In Stock"))</f>
        <v/>
      </c>
      <c r="K203" s="3">
        <f>H203*G203</f>
        <v/>
      </c>
      <c r="L203" s="3" t="n"/>
    </row>
    <row r="204" ht="18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>
        <f>IF(H204=0,"OUT OF STOCK",IF(H204&lt;=I204,"LOW STOCK","In Stock"))</f>
        <v/>
      </c>
      <c r="K204" s="4">
        <f>H204*G204</f>
        <v/>
      </c>
      <c r="L204" s="4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15" customWidth="1" min="5" max="5"/>
    <col width="12" customWidth="1" min="6" max="6"/>
    <col width="14" customWidth="1" min="7" max="7"/>
  </cols>
  <sheetData>
    <row r="1" ht="30" customHeight="1">
      <c r="A1" s="1" t="inlineStr">
        <is>
          <t>💸  EXPENSE TRACKING SHEET</t>
        </is>
      </c>
    </row>
    <row r="2" ht="8" customHeight="1"/>
    <row r="3" ht="8" customHeight="1"/>
    <row r="4" ht="22" customHeight="1">
      <c r="A4" s="2" t="inlineStr">
        <is>
          <t>Date</t>
        </is>
      </c>
      <c r="B4" s="2" t="inlineStr">
        <is>
          <t>Expense Category</t>
        </is>
      </c>
      <c r="C4" s="2" t="inlineStr">
        <is>
          <t>Description</t>
        </is>
      </c>
      <c r="D4" s="2" t="inlineStr">
        <is>
          <t>Supplier/Vendor</t>
        </is>
      </c>
      <c r="E4" s="2" t="inlineStr">
        <is>
          <t>Payment Method</t>
        </is>
      </c>
      <c r="F4" s="2" t="inlineStr">
        <is>
          <t>Amount</t>
        </is>
      </c>
      <c r="G4" s="2" t="inlineStr">
        <is>
          <t>Approved By</t>
        </is>
      </c>
    </row>
    <row r="5" ht="18" customHeight="1">
      <c r="A5" s="3" t="n"/>
      <c r="B5" s="3" t="n"/>
      <c r="C5" s="3" t="n"/>
      <c r="D5" s="3" t="n"/>
      <c r="E5" s="3" t="n"/>
      <c r="F5" s="3" t="n"/>
      <c r="G5" s="3" t="n"/>
    </row>
    <row r="6" ht="18" customHeight="1">
      <c r="A6" s="4" t="n"/>
      <c r="B6" s="4" t="n"/>
      <c r="C6" s="4" t="n"/>
      <c r="D6" s="4" t="n"/>
      <c r="E6" s="4" t="n"/>
      <c r="F6" s="4" t="n"/>
      <c r="G6" s="4" t="n"/>
    </row>
    <row r="7" ht="18" customHeight="1">
      <c r="A7" s="3" t="n"/>
      <c r="B7" s="3" t="n"/>
      <c r="C7" s="3" t="n"/>
      <c r="D7" s="3" t="n"/>
      <c r="E7" s="3" t="n"/>
      <c r="F7" s="3" t="n"/>
      <c r="G7" s="3" t="n"/>
    </row>
    <row r="8" ht="18" customHeight="1">
      <c r="A8" s="4" t="n"/>
      <c r="B8" s="4" t="n"/>
      <c r="C8" s="4" t="n"/>
      <c r="D8" s="4" t="n"/>
      <c r="E8" s="4" t="n"/>
      <c r="F8" s="4" t="n"/>
      <c r="G8" s="4" t="n"/>
    </row>
    <row r="9" ht="18" customHeight="1">
      <c r="A9" s="3" t="n"/>
      <c r="B9" s="3" t="n"/>
      <c r="C9" s="3" t="n"/>
      <c r="D9" s="3" t="n"/>
      <c r="E9" s="3" t="n"/>
      <c r="F9" s="3" t="n"/>
      <c r="G9" s="3" t="n"/>
    </row>
    <row r="10" ht="18" customHeight="1">
      <c r="A10" s="4" t="n"/>
      <c r="B10" s="4" t="n"/>
      <c r="C10" s="4" t="n"/>
      <c r="D10" s="4" t="n"/>
      <c r="E10" s="4" t="n"/>
      <c r="F10" s="4" t="n"/>
      <c r="G10" s="4" t="n"/>
    </row>
    <row r="11" ht="18" customHeight="1">
      <c r="A11" s="3" t="n"/>
      <c r="B11" s="3" t="n"/>
      <c r="C11" s="3" t="n"/>
      <c r="D11" s="3" t="n"/>
      <c r="E11" s="3" t="n"/>
      <c r="F11" s="3" t="n"/>
      <c r="G11" s="3" t="n"/>
    </row>
    <row r="12" ht="18" customHeight="1">
      <c r="A12" s="4" t="n"/>
      <c r="B12" s="4" t="n"/>
      <c r="C12" s="4" t="n"/>
      <c r="D12" s="4" t="n"/>
      <c r="E12" s="4" t="n"/>
      <c r="F12" s="4" t="n"/>
      <c r="G12" s="4" t="n"/>
    </row>
    <row r="13" ht="18" customHeight="1">
      <c r="A13" s="3" t="n"/>
      <c r="B13" s="3" t="n"/>
      <c r="C13" s="3" t="n"/>
      <c r="D13" s="3" t="n"/>
      <c r="E13" s="3" t="n"/>
      <c r="F13" s="3" t="n"/>
      <c r="G13" s="3" t="n"/>
    </row>
    <row r="14" ht="18" customHeight="1">
      <c r="A14" s="4" t="n"/>
      <c r="B14" s="4" t="n"/>
      <c r="C14" s="4" t="n"/>
      <c r="D14" s="4" t="n"/>
      <c r="E14" s="4" t="n"/>
      <c r="F14" s="4" t="n"/>
      <c r="G14" s="4" t="n"/>
    </row>
    <row r="15" ht="18" customHeight="1">
      <c r="A15" s="3" t="n"/>
      <c r="B15" s="3" t="n"/>
      <c r="C15" s="3" t="n"/>
      <c r="D15" s="3" t="n"/>
      <c r="E15" s="3" t="n"/>
      <c r="F15" s="3" t="n"/>
      <c r="G15" s="3" t="n"/>
    </row>
    <row r="16" ht="18" customHeight="1">
      <c r="A16" s="4" t="n"/>
      <c r="B16" s="4" t="n"/>
      <c r="C16" s="4" t="n"/>
      <c r="D16" s="4" t="n"/>
      <c r="E16" s="4" t="n"/>
      <c r="F16" s="4" t="n"/>
      <c r="G16" s="4" t="n"/>
    </row>
    <row r="17" ht="18" customHeight="1">
      <c r="A17" s="3" t="n"/>
      <c r="B17" s="3" t="n"/>
      <c r="C17" s="3" t="n"/>
      <c r="D17" s="3" t="n"/>
      <c r="E17" s="3" t="n"/>
      <c r="F17" s="3" t="n"/>
      <c r="G17" s="3" t="n"/>
    </row>
    <row r="18" ht="18" customHeight="1">
      <c r="A18" s="4" t="n"/>
      <c r="B18" s="4" t="n"/>
      <c r="C18" s="4" t="n"/>
      <c r="D18" s="4" t="n"/>
      <c r="E18" s="4" t="n"/>
      <c r="F18" s="4" t="n"/>
      <c r="G18" s="4" t="n"/>
    </row>
    <row r="19" ht="18" customHeight="1">
      <c r="A19" s="3" t="n"/>
      <c r="B19" s="3" t="n"/>
      <c r="C19" s="3" t="n"/>
      <c r="D19" s="3" t="n"/>
      <c r="E19" s="3" t="n"/>
      <c r="F19" s="3" t="n"/>
      <c r="G19" s="3" t="n"/>
    </row>
    <row r="20" ht="18" customHeight="1">
      <c r="A20" s="4" t="n"/>
      <c r="B20" s="4" t="n"/>
      <c r="C20" s="4" t="n"/>
      <c r="D20" s="4" t="n"/>
      <c r="E20" s="4" t="n"/>
      <c r="F20" s="4" t="n"/>
      <c r="G20" s="4" t="n"/>
    </row>
    <row r="21" ht="18" customHeight="1">
      <c r="A21" s="3" t="n"/>
      <c r="B21" s="3" t="n"/>
      <c r="C21" s="3" t="n"/>
      <c r="D21" s="3" t="n"/>
      <c r="E21" s="3" t="n"/>
      <c r="F21" s="3" t="n"/>
      <c r="G21" s="3" t="n"/>
    </row>
    <row r="22" ht="18" customHeight="1">
      <c r="A22" s="4" t="n"/>
      <c r="B22" s="4" t="n"/>
      <c r="C22" s="4" t="n"/>
      <c r="D22" s="4" t="n"/>
      <c r="E22" s="4" t="n"/>
      <c r="F22" s="4" t="n"/>
      <c r="G22" s="4" t="n"/>
    </row>
    <row r="23" ht="18" customHeight="1">
      <c r="A23" s="3" t="n"/>
      <c r="B23" s="3" t="n"/>
      <c r="C23" s="3" t="n"/>
      <c r="D23" s="3" t="n"/>
      <c r="E23" s="3" t="n"/>
      <c r="F23" s="3" t="n"/>
      <c r="G23" s="3" t="n"/>
    </row>
    <row r="24" ht="18" customHeight="1">
      <c r="A24" s="4" t="n"/>
      <c r="B24" s="4" t="n"/>
      <c r="C24" s="4" t="n"/>
      <c r="D24" s="4" t="n"/>
      <c r="E24" s="4" t="n"/>
      <c r="F24" s="4" t="n"/>
      <c r="G24" s="4" t="n"/>
    </row>
    <row r="25" ht="18" customHeight="1">
      <c r="A25" s="3" t="n"/>
      <c r="B25" s="3" t="n"/>
      <c r="C25" s="3" t="n"/>
      <c r="D25" s="3" t="n"/>
      <c r="E25" s="3" t="n"/>
      <c r="F25" s="3" t="n"/>
      <c r="G25" s="3" t="n"/>
    </row>
    <row r="26" ht="18" customHeight="1">
      <c r="A26" s="4" t="n"/>
      <c r="B26" s="4" t="n"/>
      <c r="C26" s="4" t="n"/>
      <c r="D26" s="4" t="n"/>
      <c r="E26" s="4" t="n"/>
      <c r="F26" s="4" t="n"/>
      <c r="G26" s="4" t="n"/>
    </row>
    <row r="27" ht="18" customHeight="1">
      <c r="A27" s="3" t="n"/>
      <c r="B27" s="3" t="n"/>
      <c r="C27" s="3" t="n"/>
      <c r="D27" s="3" t="n"/>
      <c r="E27" s="3" t="n"/>
      <c r="F27" s="3" t="n"/>
      <c r="G27" s="3" t="n"/>
    </row>
    <row r="28" ht="18" customHeight="1">
      <c r="A28" s="4" t="n"/>
      <c r="B28" s="4" t="n"/>
      <c r="C28" s="4" t="n"/>
      <c r="D28" s="4" t="n"/>
      <c r="E28" s="4" t="n"/>
      <c r="F28" s="4" t="n"/>
      <c r="G28" s="4" t="n"/>
    </row>
    <row r="29" ht="18" customHeight="1">
      <c r="A29" s="3" t="n"/>
      <c r="B29" s="3" t="n"/>
      <c r="C29" s="3" t="n"/>
      <c r="D29" s="3" t="n"/>
      <c r="E29" s="3" t="n"/>
      <c r="F29" s="3" t="n"/>
      <c r="G29" s="3" t="n"/>
    </row>
    <row r="30" ht="18" customHeight="1">
      <c r="A30" s="4" t="n"/>
      <c r="B30" s="4" t="n"/>
      <c r="C30" s="4" t="n"/>
      <c r="D30" s="4" t="n"/>
      <c r="E30" s="4" t="n"/>
      <c r="F30" s="4" t="n"/>
      <c r="G30" s="4" t="n"/>
    </row>
    <row r="31" ht="18" customHeight="1">
      <c r="A31" s="3" t="n"/>
      <c r="B31" s="3" t="n"/>
      <c r="C31" s="3" t="n"/>
      <c r="D31" s="3" t="n"/>
      <c r="E31" s="3" t="n"/>
      <c r="F31" s="3" t="n"/>
      <c r="G31" s="3" t="n"/>
    </row>
    <row r="32" ht="18" customHeight="1">
      <c r="A32" s="4" t="n"/>
      <c r="B32" s="4" t="n"/>
      <c r="C32" s="4" t="n"/>
      <c r="D32" s="4" t="n"/>
      <c r="E32" s="4" t="n"/>
      <c r="F32" s="4" t="n"/>
      <c r="G32" s="4" t="n"/>
    </row>
    <row r="33" ht="18" customHeight="1">
      <c r="A33" s="3" t="n"/>
      <c r="B33" s="3" t="n"/>
      <c r="C33" s="3" t="n"/>
      <c r="D33" s="3" t="n"/>
      <c r="E33" s="3" t="n"/>
      <c r="F33" s="3" t="n"/>
      <c r="G33" s="3" t="n"/>
    </row>
    <row r="34" ht="18" customHeight="1">
      <c r="A34" s="4" t="n"/>
      <c r="B34" s="4" t="n"/>
      <c r="C34" s="4" t="n"/>
      <c r="D34" s="4" t="n"/>
      <c r="E34" s="4" t="n"/>
      <c r="F34" s="4" t="n"/>
      <c r="G34" s="4" t="n"/>
    </row>
    <row r="35" ht="18" customHeight="1">
      <c r="A35" s="3" t="n"/>
      <c r="B35" s="3" t="n"/>
      <c r="C35" s="3" t="n"/>
      <c r="D35" s="3" t="n"/>
      <c r="E35" s="3" t="n"/>
      <c r="F35" s="3" t="n"/>
      <c r="G35" s="3" t="n"/>
    </row>
    <row r="36" ht="18" customHeight="1">
      <c r="A36" s="4" t="n"/>
      <c r="B36" s="4" t="n"/>
      <c r="C36" s="4" t="n"/>
      <c r="D36" s="4" t="n"/>
      <c r="E36" s="4" t="n"/>
      <c r="F36" s="4" t="n"/>
      <c r="G36" s="4" t="n"/>
    </row>
    <row r="37" ht="18" customHeight="1">
      <c r="A37" s="3" t="n"/>
      <c r="B37" s="3" t="n"/>
      <c r="C37" s="3" t="n"/>
      <c r="D37" s="3" t="n"/>
      <c r="E37" s="3" t="n"/>
      <c r="F37" s="3" t="n"/>
      <c r="G37" s="3" t="n"/>
    </row>
    <row r="38" ht="18" customHeight="1">
      <c r="A38" s="4" t="n"/>
      <c r="B38" s="4" t="n"/>
      <c r="C38" s="4" t="n"/>
      <c r="D38" s="4" t="n"/>
      <c r="E38" s="4" t="n"/>
      <c r="F38" s="4" t="n"/>
      <c r="G38" s="4" t="n"/>
    </row>
    <row r="39" ht="18" customHeight="1">
      <c r="A39" s="3" t="n"/>
      <c r="B39" s="3" t="n"/>
      <c r="C39" s="3" t="n"/>
      <c r="D39" s="3" t="n"/>
      <c r="E39" s="3" t="n"/>
      <c r="F39" s="3" t="n"/>
      <c r="G39" s="3" t="n"/>
    </row>
    <row r="40" ht="18" customHeight="1">
      <c r="A40" s="4" t="n"/>
      <c r="B40" s="4" t="n"/>
      <c r="C40" s="4" t="n"/>
      <c r="D40" s="4" t="n"/>
      <c r="E40" s="4" t="n"/>
      <c r="F40" s="4" t="n"/>
      <c r="G40" s="4" t="n"/>
    </row>
    <row r="41" ht="18" customHeight="1">
      <c r="A41" s="3" t="n"/>
      <c r="B41" s="3" t="n"/>
      <c r="C41" s="3" t="n"/>
      <c r="D41" s="3" t="n"/>
      <c r="E41" s="3" t="n"/>
      <c r="F41" s="3" t="n"/>
      <c r="G41" s="3" t="n"/>
    </row>
    <row r="42" ht="18" customHeight="1">
      <c r="A42" s="4" t="n"/>
      <c r="B42" s="4" t="n"/>
      <c r="C42" s="4" t="n"/>
      <c r="D42" s="4" t="n"/>
      <c r="E42" s="4" t="n"/>
      <c r="F42" s="4" t="n"/>
      <c r="G42" s="4" t="n"/>
    </row>
    <row r="43" ht="18" customHeight="1">
      <c r="A43" s="3" t="n"/>
      <c r="B43" s="3" t="n"/>
      <c r="C43" s="3" t="n"/>
      <c r="D43" s="3" t="n"/>
      <c r="E43" s="3" t="n"/>
      <c r="F43" s="3" t="n"/>
      <c r="G43" s="3" t="n"/>
    </row>
    <row r="44" ht="18" customHeight="1">
      <c r="A44" s="4" t="n"/>
      <c r="B44" s="4" t="n"/>
      <c r="C44" s="4" t="n"/>
      <c r="D44" s="4" t="n"/>
      <c r="E44" s="4" t="n"/>
      <c r="F44" s="4" t="n"/>
      <c r="G44" s="4" t="n"/>
    </row>
    <row r="45" ht="18" customHeight="1">
      <c r="A45" s="3" t="n"/>
      <c r="B45" s="3" t="n"/>
      <c r="C45" s="3" t="n"/>
      <c r="D45" s="3" t="n"/>
      <c r="E45" s="3" t="n"/>
      <c r="F45" s="3" t="n"/>
      <c r="G45" s="3" t="n"/>
    </row>
    <row r="46" ht="18" customHeight="1">
      <c r="A46" s="4" t="n"/>
      <c r="B46" s="4" t="n"/>
      <c r="C46" s="4" t="n"/>
      <c r="D46" s="4" t="n"/>
      <c r="E46" s="4" t="n"/>
      <c r="F46" s="4" t="n"/>
      <c r="G46" s="4" t="n"/>
    </row>
    <row r="47" ht="18" customHeight="1">
      <c r="A47" s="3" t="n"/>
      <c r="B47" s="3" t="n"/>
      <c r="C47" s="3" t="n"/>
      <c r="D47" s="3" t="n"/>
      <c r="E47" s="3" t="n"/>
      <c r="F47" s="3" t="n"/>
      <c r="G47" s="3" t="n"/>
    </row>
    <row r="48" ht="18" customHeight="1">
      <c r="A48" s="4" t="n"/>
      <c r="B48" s="4" t="n"/>
      <c r="C48" s="4" t="n"/>
      <c r="D48" s="4" t="n"/>
      <c r="E48" s="4" t="n"/>
      <c r="F48" s="4" t="n"/>
      <c r="G48" s="4" t="n"/>
    </row>
    <row r="49" ht="18" customHeight="1">
      <c r="A49" s="3" t="n"/>
      <c r="B49" s="3" t="n"/>
      <c r="C49" s="3" t="n"/>
      <c r="D49" s="3" t="n"/>
      <c r="E49" s="3" t="n"/>
      <c r="F49" s="3" t="n"/>
      <c r="G49" s="3" t="n"/>
    </row>
    <row r="50" ht="18" customHeight="1">
      <c r="A50" s="4" t="n"/>
      <c r="B50" s="4" t="n"/>
      <c r="C50" s="4" t="n"/>
      <c r="D50" s="4" t="n"/>
      <c r="E50" s="4" t="n"/>
      <c r="F50" s="4" t="n"/>
      <c r="G50" s="4" t="n"/>
    </row>
    <row r="51" ht="18" customHeight="1">
      <c r="A51" s="3" t="n"/>
      <c r="B51" s="3" t="n"/>
      <c r="C51" s="3" t="n"/>
      <c r="D51" s="3" t="n"/>
      <c r="E51" s="3" t="n"/>
      <c r="F51" s="3" t="n"/>
      <c r="G51" s="3" t="n"/>
    </row>
    <row r="52" ht="18" customHeight="1">
      <c r="A52" s="4" t="n"/>
      <c r="B52" s="4" t="n"/>
      <c r="C52" s="4" t="n"/>
      <c r="D52" s="4" t="n"/>
      <c r="E52" s="4" t="n"/>
      <c r="F52" s="4" t="n"/>
      <c r="G52" s="4" t="n"/>
    </row>
    <row r="53" ht="18" customHeight="1">
      <c r="A53" s="3" t="n"/>
      <c r="B53" s="3" t="n"/>
      <c r="C53" s="3" t="n"/>
      <c r="D53" s="3" t="n"/>
      <c r="E53" s="3" t="n"/>
      <c r="F53" s="3" t="n"/>
      <c r="G53" s="3" t="n"/>
    </row>
    <row r="54" ht="18" customHeight="1">
      <c r="A54" s="4" t="n"/>
      <c r="B54" s="4" t="n"/>
      <c r="C54" s="4" t="n"/>
      <c r="D54" s="4" t="n"/>
      <c r="E54" s="4" t="n"/>
      <c r="F54" s="4" t="n"/>
      <c r="G54" s="4" t="n"/>
    </row>
    <row r="55" ht="18" customHeight="1">
      <c r="A55" s="3" t="n"/>
      <c r="B55" s="3" t="n"/>
      <c r="C55" s="3" t="n"/>
      <c r="D55" s="3" t="n"/>
      <c r="E55" s="3" t="n"/>
      <c r="F55" s="3" t="n"/>
      <c r="G55" s="3" t="n"/>
    </row>
    <row r="56" ht="18" customHeight="1">
      <c r="A56" s="4" t="n"/>
      <c r="B56" s="4" t="n"/>
      <c r="C56" s="4" t="n"/>
      <c r="D56" s="4" t="n"/>
      <c r="E56" s="4" t="n"/>
      <c r="F56" s="4" t="n"/>
      <c r="G56" s="4" t="n"/>
    </row>
    <row r="57" ht="18" customHeight="1">
      <c r="A57" s="3" t="n"/>
      <c r="B57" s="3" t="n"/>
      <c r="C57" s="3" t="n"/>
      <c r="D57" s="3" t="n"/>
      <c r="E57" s="3" t="n"/>
      <c r="F57" s="3" t="n"/>
      <c r="G57" s="3" t="n"/>
    </row>
    <row r="58" ht="18" customHeight="1">
      <c r="A58" s="4" t="n"/>
      <c r="B58" s="4" t="n"/>
      <c r="C58" s="4" t="n"/>
      <c r="D58" s="4" t="n"/>
      <c r="E58" s="4" t="n"/>
      <c r="F58" s="4" t="n"/>
      <c r="G58" s="4" t="n"/>
    </row>
    <row r="59" ht="18" customHeight="1">
      <c r="A59" s="3" t="n"/>
      <c r="B59" s="3" t="n"/>
      <c r="C59" s="3" t="n"/>
      <c r="D59" s="3" t="n"/>
      <c r="E59" s="3" t="n"/>
      <c r="F59" s="3" t="n"/>
      <c r="G59" s="3" t="n"/>
    </row>
    <row r="60" ht="18" customHeight="1">
      <c r="A60" s="4" t="n"/>
      <c r="B60" s="4" t="n"/>
      <c r="C60" s="4" t="n"/>
      <c r="D60" s="4" t="n"/>
      <c r="E60" s="4" t="n"/>
      <c r="F60" s="4" t="n"/>
      <c r="G60" s="4" t="n"/>
    </row>
    <row r="61" ht="18" customHeight="1">
      <c r="A61" s="3" t="n"/>
      <c r="B61" s="3" t="n"/>
      <c r="C61" s="3" t="n"/>
      <c r="D61" s="3" t="n"/>
      <c r="E61" s="3" t="n"/>
      <c r="F61" s="3" t="n"/>
      <c r="G61" s="3" t="n"/>
    </row>
    <row r="62" ht="18" customHeight="1">
      <c r="A62" s="4" t="n"/>
      <c r="B62" s="4" t="n"/>
      <c r="C62" s="4" t="n"/>
      <c r="D62" s="4" t="n"/>
      <c r="E62" s="4" t="n"/>
      <c r="F62" s="4" t="n"/>
      <c r="G62" s="4" t="n"/>
    </row>
    <row r="63" ht="18" customHeight="1">
      <c r="A63" s="3" t="n"/>
      <c r="B63" s="3" t="n"/>
      <c r="C63" s="3" t="n"/>
      <c r="D63" s="3" t="n"/>
      <c r="E63" s="3" t="n"/>
      <c r="F63" s="3" t="n"/>
      <c r="G63" s="3" t="n"/>
    </row>
    <row r="64" ht="18" customHeight="1">
      <c r="A64" s="4" t="n"/>
      <c r="B64" s="4" t="n"/>
      <c r="C64" s="4" t="n"/>
      <c r="D64" s="4" t="n"/>
      <c r="E64" s="4" t="n"/>
      <c r="F64" s="4" t="n"/>
      <c r="G64" s="4" t="n"/>
    </row>
    <row r="65" ht="18" customHeight="1">
      <c r="A65" s="3" t="n"/>
      <c r="B65" s="3" t="n"/>
      <c r="C65" s="3" t="n"/>
      <c r="D65" s="3" t="n"/>
      <c r="E65" s="3" t="n"/>
      <c r="F65" s="3" t="n"/>
      <c r="G65" s="3" t="n"/>
    </row>
    <row r="66" ht="18" customHeight="1">
      <c r="A66" s="4" t="n"/>
      <c r="B66" s="4" t="n"/>
      <c r="C66" s="4" t="n"/>
      <c r="D66" s="4" t="n"/>
      <c r="E66" s="4" t="n"/>
      <c r="F66" s="4" t="n"/>
      <c r="G66" s="4" t="n"/>
    </row>
    <row r="67" ht="18" customHeight="1">
      <c r="A67" s="3" t="n"/>
      <c r="B67" s="3" t="n"/>
      <c r="C67" s="3" t="n"/>
      <c r="D67" s="3" t="n"/>
      <c r="E67" s="3" t="n"/>
      <c r="F67" s="3" t="n"/>
      <c r="G67" s="3" t="n"/>
    </row>
    <row r="68" ht="18" customHeight="1">
      <c r="A68" s="4" t="n"/>
      <c r="B68" s="4" t="n"/>
      <c r="C68" s="4" t="n"/>
      <c r="D68" s="4" t="n"/>
      <c r="E68" s="4" t="n"/>
      <c r="F68" s="4" t="n"/>
      <c r="G68" s="4" t="n"/>
    </row>
    <row r="69" ht="18" customHeight="1">
      <c r="A69" s="3" t="n"/>
      <c r="B69" s="3" t="n"/>
      <c r="C69" s="3" t="n"/>
      <c r="D69" s="3" t="n"/>
      <c r="E69" s="3" t="n"/>
      <c r="F69" s="3" t="n"/>
      <c r="G69" s="3" t="n"/>
    </row>
    <row r="70" ht="18" customHeight="1">
      <c r="A70" s="4" t="n"/>
      <c r="B70" s="4" t="n"/>
      <c r="C70" s="4" t="n"/>
      <c r="D70" s="4" t="n"/>
      <c r="E70" s="4" t="n"/>
      <c r="F70" s="4" t="n"/>
      <c r="G70" s="4" t="n"/>
    </row>
    <row r="71" ht="18" customHeight="1">
      <c r="A71" s="3" t="n"/>
      <c r="B71" s="3" t="n"/>
      <c r="C71" s="3" t="n"/>
      <c r="D71" s="3" t="n"/>
      <c r="E71" s="3" t="n"/>
      <c r="F71" s="3" t="n"/>
      <c r="G71" s="3" t="n"/>
    </row>
    <row r="72" ht="18" customHeight="1">
      <c r="A72" s="4" t="n"/>
      <c r="B72" s="4" t="n"/>
      <c r="C72" s="4" t="n"/>
      <c r="D72" s="4" t="n"/>
      <c r="E72" s="4" t="n"/>
      <c r="F72" s="4" t="n"/>
      <c r="G72" s="4" t="n"/>
    </row>
    <row r="73" ht="18" customHeight="1">
      <c r="A73" s="3" t="n"/>
      <c r="B73" s="3" t="n"/>
      <c r="C73" s="3" t="n"/>
      <c r="D73" s="3" t="n"/>
      <c r="E73" s="3" t="n"/>
      <c r="F73" s="3" t="n"/>
      <c r="G73" s="3" t="n"/>
    </row>
    <row r="74" ht="18" customHeight="1">
      <c r="A74" s="4" t="n"/>
      <c r="B74" s="4" t="n"/>
      <c r="C74" s="4" t="n"/>
      <c r="D74" s="4" t="n"/>
      <c r="E74" s="4" t="n"/>
      <c r="F74" s="4" t="n"/>
      <c r="G74" s="4" t="n"/>
    </row>
    <row r="75" ht="18" customHeight="1">
      <c r="A75" s="3" t="n"/>
      <c r="B75" s="3" t="n"/>
      <c r="C75" s="3" t="n"/>
      <c r="D75" s="3" t="n"/>
      <c r="E75" s="3" t="n"/>
      <c r="F75" s="3" t="n"/>
      <c r="G75" s="3" t="n"/>
    </row>
    <row r="76" ht="18" customHeight="1">
      <c r="A76" s="4" t="n"/>
      <c r="B76" s="4" t="n"/>
      <c r="C76" s="4" t="n"/>
      <c r="D76" s="4" t="n"/>
      <c r="E76" s="4" t="n"/>
      <c r="F76" s="4" t="n"/>
      <c r="G76" s="4" t="n"/>
    </row>
    <row r="77" ht="18" customHeight="1">
      <c r="A77" s="3" t="n"/>
      <c r="B77" s="3" t="n"/>
      <c r="C77" s="3" t="n"/>
      <c r="D77" s="3" t="n"/>
      <c r="E77" s="3" t="n"/>
      <c r="F77" s="3" t="n"/>
      <c r="G77" s="3" t="n"/>
    </row>
    <row r="78" ht="18" customHeight="1">
      <c r="A78" s="4" t="n"/>
      <c r="B78" s="4" t="n"/>
      <c r="C78" s="4" t="n"/>
      <c r="D78" s="4" t="n"/>
      <c r="E78" s="4" t="n"/>
      <c r="F78" s="4" t="n"/>
      <c r="G78" s="4" t="n"/>
    </row>
    <row r="79" ht="18" customHeight="1">
      <c r="A79" s="3" t="n"/>
      <c r="B79" s="3" t="n"/>
      <c r="C79" s="3" t="n"/>
      <c r="D79" s="3" t="n"/>
      <c r="E79" s="3" t="n"/>
      <c r="F79" s="3" t="n"/>
      <c r="G79" s="3" t="n"/>
    </row>
    <row r="80" ht="18" customHeight="1">
      <c r="A80" s="4" t="n"/>
      <c r="B80" s="4" t="n"/>
      <c r="C80" s="4" t="n"/>
      <c r="D80" s="4" t="n"/>
      <c r="E80" s="4" t="n"/>
      <c r="F80" s="4" t="n"/>
      <c r="G80" s="4" t="n"/>
    </row>
    <row r="81" ht="18" customHeight="1">
      <c r="A81" s="3" t="n"/>
      <c r="B81" s="3" t="n"/>
      <c r="C81" s="3" t="n"/>
      <c r="D81" s="3" t="n"/>
      <c r="E81" s="3" t="n"/>
      <c r="F81" s="3" t="n"/>
      <c r="G81" s="3" t="n"/>
    </row>
    <row r="82" ht="18" customHeight="1">
      <c r="A82" s="4" t="n"/>
      <c r="B82" s="4" t="n"/>
      <c r="C82" s="4" t="n"/>
      <c r="D82" s="4" t="n"/>
      <c r="E82" s="4" t="n"/>
      <c r="F82" s="4" t="n"/>
      <c r="G82" s="4" t="n"/>
    </row>
    <row r="83" ht="18" customHeight="1">
      <c r="A83" s="3" t="n"/>
      <c r="B83" s="3" t="n"/>
      <c r="C83" s="3" t="n"/>
      <c r="D83" s="3" t="n"/>
      <c r="E83" s="3" t="n"/>
      <c r="F83" s="3" t="n"/>
      <c r="G83" s="3" t="n"/>
    </row>
    <row r="84" ht="18" customHeight="1">
      <c r="A84" s="4" t="n"/>
      <c r="B84" s="4" t="n"/>
      <c r="C84" s="4" t="n"/>
      <c r="D84" s="4" t="n"/>
      <c r="E84" s="4" t="n"/>
      <c r="F84" s="4" t="n"/>
      <c r="G84" s="4" t="n"/>
    </row>
    <row r="85" ht="18" customHeight="1">
      <c r="A85" s="3" t="n"/>
      <c r="B85" s="3" t="n"/>
      <c r="C85" s="3" t="n"/>
      <c r="D85" s="3" t="n"/>
      <c r="E85" s="3" t="n"/>
      <c r="F85" s="3" t="n"/>
      <c r="G85" s="3" t="n"/>
    </row>
    <row r="86" ht="18" customHeight="1">
      <c r="A86" s="4" t="n"/>
      <c r="B86" s="4" t="n"/>
      <c r="C86" s="4" t="n"/>
      <c r="D86" s="4" t="n"/>
      <c r="E86" s="4" t="n"/>
      <c r="F86" s="4" t="n"/>
      <c r="G86" s="4" t="n"/>
    </row>
    <row r="87" ht="18" customHeight="1">
      <c r="A87" s="3" t="n"/>
      <c r="B87" s="3" t="n"/>
      <c r="C87" s="3" t="n"/>
      <c r="D87" s="3" t="n"/>
      <c r="E87" s="3" t="n"/>
      <c r="F87" s="3" t="n"/>
      <c r="G87" s="3" t="n"/>
    </row>
    <row r="88" ht="18" customHeight="1">
      <c r="A88" s="4" t="n"/>
      <c r="B88" s="4" t="n"/>
      <c r="C88" s="4" t="n"/>
      <c r="D88" s="4" t="n"/>
      <c r="E88" s="4" t="n"/>
      <c r="F88" s="4" t="n"/>
      <c r="G88" s="4" t="n"/>
    </row>
    <row r="89" ht="18" customHeight="1">
      <c r="A89" s="3" t="n"/>
      <c r="B89" s="3" t="n"/>
      <c r="C89" s="3" t="n"/>
      <c r="D89" s="3" t="n"/>
      <c r="E89" s="3" t="n"/>
      <c r="F89" s="3" t="n"/>
      <c r="G89" s="3" t="n"/>
    </row>
    <row r="90" ht="18" customHeight="1">
      <c r="A90" s="4" t="n"/>
      <c r="B90" s="4" t="n"/>
      <c r="C90" s="4" t="n"/>
      <c r="D90" s="4" t="n"/>
      <c r="E90" s="4" t="n"/>
      <c r="F90" s="4" t="n"/>
      <c r="G90" s="4" t="n"/>
    </row>
    <row r="91" ht="18" customHeight="1">
      <c r="A91" s="3" t="n"/>
      <c r="B91" s="3" t="n"/>
      <c r="C91" s="3" t="n"/>
      <c r="D91" s="3" t="n"/>
      <c r="E91" s="3" t="n"/>
      <c r="F91" s="3" t="n"/>
      <c r="G91" s="3" t="n"/>
    </row>
    <row r="92" ht="18" customHeight="1">
      <c r="A92" s="4" t="n"/>
      <c r="B92" s="4" t="n"/>
      <c r="C92" s="4" t="n"/>
      <c r="D92" s="4" t="n"/>
      <c r="E92" s="4" t="n"/>
      <c r="F92" s="4" t="n"/>
      <c r="G92" s="4" t="n"/>
    </row>
    <row r="93" ht="18" customHeight="1">
      <c r="A93" s="3" t="n"/>
      <c r="B93" s="3" t="n"/>
      <c r="C93" s="3" t="n"/>
      <c r="D93" s="3" t="n"/>
      <c r="E93" s="3" t="n"/>
      <c r="F93" s="3" t="n"/>
      <c r="G93" s="3" t="n"/>
    </row>
    <row r="94" ht="18" customHeight="1">
      <c r="A94" s="4" t="n"/>
      <c r="B94" s="4" t="n"/>
      <c r="C94" s="4" t="n"/>
      <c r="D94" s="4" t="n"/>
      <c r="E94" s="4" t="n"/>
      <c r="F94" s="4" t="n"/>
      <c r="G94" s="4" t="n"/>
    </row>
    <row r="95" ht="18" customHeight="1">
      <c r="A95" s="3" t="n"/>
      <c r="B95" s="3" t="n"/>
      <c r="C95" s="3" t="n"/>
      <c r="D95" s="3" t="n"/>
      <c r="E95" s="3" t="n"/>
      <c r="F95" s="3" t="n"/>
      <c r="G95" s="3" t="n"/>
    </row>
    <row r="96" ht="18" customHeight="1">
      <c r="A96" s="4" t="n"/>
      <c r="B96" s="4" t="n"/>
      <c r="C96" s="4" t="n"/>
      <c r="D96" s="4" t="n"/>
      <c r="E96" s="4" t="n"/>
      <c r="F96" s="4" t="n"/>
      <c r="G96" s="4" t="n"/>
    </row>
    <row r="97" ht="18" customHeight="1">
      <c r="A97" s="3" t="n"/>
      <c r="B97" s="3" t="n"/>
      <c r="C97" s="3" t="n"/>
      <c r="D97" s="3" t="n"/>
      <c r="E97" s="3" t="n"/>
      <c r="F97" s="3" t="n"/>
      <c r="G97" s="3" t="n"/>
    </row>
    <row r="98" ht="18" customHeight="1">
      <c r="A98" s="4" t="n"/>
      <c r="B98" s="4" t="n"/>
      <c r="C98" s="4" t="n"/>
      <c r="D98" s="4" t="n"/>
      <c r="E98" s="4" t="n"/>
      <c r="F98" s="4" t="n"/>
      <c r="G98" s="4" t="n"/>
    </row>
    <row r="99" ht="18" customHeight="1">
      <c r="A99" s="3" t="n"/>
      <c r="B99" s="3" t="n"/>
      <c r="C99" s="3" t="n"/>
      <c r="D99" s="3" t="n"/>
      <c r="E99" s="3" t="n"/>
      <c r="F99" s="3" t="n"/>
      <c r="G99" s="3" t="n"/>
    </row>
    <row r="100" ht="18" customHeight="1">
      <c r="A100" s="4" t="n"/>
      <c r="B100" s="4" t="n"/>
      <c r="C100" s="4" t="n"/>
      <c r="D100" s="4" t="n"/>
      <c r="E100" s="4" t="n"/>
      <c r="F100" s="4" t="n"/>
      <c r="G100" s="4" t="n"/>
    </row>
    <row r="101" ht="18" customHeight="1">
      <c r="A101" s="3" t="n"/>
      <c r="B101" s="3" t="n"/>
      <c r="C101" s="3" t="n"/>
      <c r="D101" s="3" t="n"/>
      <c r="E101" s="3" t="n"/>
      <c r="F101" s="3" t="n"/>
      <c r="G101" s="3" t="n"/>
    </row>
    <row r="102" ht="18" customHeight="1">
      <c r="A102" s="4" t="n"/>
      <c r="B102" s="4" t="n"/>
      <c r="C102" s="4" t="n"/>
      <c r="D102" s="4" t="n"/>
      <c r="E102" s="4" t="n"/>
      <c r="F102" s="4" t="n"/>
      <c r="G102" s="4" t="n"/>
    </row>
    <row r="103" ht="18" customHeight="1">
      <c r="A103" s="3" t="n"/>
      <c r="B103" s="3" t="n"/>
      <c r="C103" s="3" t="n"/>
      <c r="D103" s="3" t="n"/>
      <c r="E103" s="3" t="n"/>
      <c r="F103" s="3" t="n"/>
      <c r="G103" s="3" t="n"/>
    </row>
    <row r="104" ht="18" customHeight="1">
      <c r="A104" s="4" t="n"/>
      <c r="B104" s="4" t="n"/>
      <c r="C104" s="4" t="n"/>
      <c r="D104" s="4" t="n"/>
      <c r="E104" s="4" t="n"/>
      <c r="F104" s="4" t="n"/>
      <c r="G104" s="4" t="n"/>
    </row>
    <row r="105" ht="18" customHeight="1">
      <c r="A105" s="3" t="n"/>
      <c r="B105" s="3" t="n"/>
      <c r="C105" s="3" t="n"/>
      <c r="D105" s="3" t="n"/>
      <c r="E105" s="3" t="n"/>
      <c r="F105" s="3" t="n"/>
      <c r="G105" s="3" t="n"/>
    </row>
    <row r="106" ht="18" customHeight="1">
      <c r="A106" s="4" t="n"/>
      <c r="B106" s="4" t="n"/>
      <c r="C106" s="4" t="n"/>
      <c r="D106" s="4" t="n"/>
      <c r="E106" s="4" t="n"/>
      <c r="F106" s="4" t="n"/>
      <c r="G106" s="4" t="n"/>
    </row>
    <row r="107" ht="18" customHeight="1">
      <c r="A107" s="3" t="n"/>
      <c r="B107" s="3" t="n"/>
      <c r="C107" s="3" t="n"/>
      <c r="D107" s="3" t="n"/>
      <c r="E107" s="3" t="n"/>
      <c r="F107" s="3" t="n"/>
      <c r="G107" s="3" t="n"/>
    </row>
    <row r="108" ht="18" customHeight="1">
      <c r="A108" s="4" t="n"/>
      <c r="B108" s="4" t="n"/>
      <c r="C108" s="4" t="n"/>
      <c r="D108" s="4" t="n"/>
      <c r="E108" s="4" t="n"/>
      <c r="F108" s="4" t="n"/>
      <c r="G108" s="4" t="n"/>
    </row>
    <row r="109" ht="18" customHeight="1">
      <c r="A109" s="3" t="n"/>
      <c r="B109" s="3" t="n"/>
      <c r="C109" s="3" t="n"/>
      <c r="D109" s="3" t="n"/>
      <c r="E109" s="3" t="n"/>
      <c r="F109" s="3" t="n"/>
      <c r="G109" s="3" t="n"/>
    </row>
    <row r="110" ht="18" customHeight="1">
      <c r="A110" s="4" t="n"/>
      <c r="B110" s="4" t="n"/>
      <c r="C110" s="4" t="n"/>
      <c r="D110" s="4" t="n"/>
      <c r="E110" s="4" t="n"/>
      <c r="F110" s="4" t="n"/>
      <c r="G110" s="4" t="n"/>
    </row>
    <row r="111" ht="18" customHeight="1">
      <c r="A111" s="3" t="n"/>
      <c r="B111" s="3" t="n"/>
      <c r="C111" s="3" t="n"/>
      <c r="D111" s="3" t="n"/>
      <c r="E111" s="3" t="n"/>
      <c r="F111" s="3" t="n"/>
      <c r="G111" s="3" t="n"/>
    </row>
    <row r="112" ht="18" customHeight="1">
      <c r="A112" s="4" t="n"/>
      <c r="B112" s="4" t="n"/>
      <c r="C112" s="4" t="n"/>
      <c r="D112" s="4" t="n"/>
      <c r="E112" s="4" t="n"/>
      <c r="F112" s="4" t="n"/>
      <c r="G112" s="4" t="n"/>
    </row>
    <row r="113" ht="18" customHeight="1">
      <c r="A113" s="3" t="n"/>
      <c r="B113" s="3" t="n"/>
      <c r="C113" s="3" t="n"/>
      <c r="D113" s="3" t="n"/>
      <c r="E113" s="3" t="n"/>
      <c r="F113" s="3" t="n"/>
      <c r="G113" s="3" t="n"/>
    </row>
    <row r="114" ht="18" customHeight="1">
      <c r="A114" s="4" t="n"/>
      <c r="B114" s="4" t="n"/>
      <c r="C114" s="4" t="n"/>
      <c r="D114" s="4" t="n"/>
      <c r="E114" s="4" t="n"/>
      <c r="F114" s="4" t="n"/>
      <c r="G114" s="4" t="n"/>
    </row>
    <row r="115" ht="18" customHeight="1">
      <c r="A115" s="3" t="n"/>
      <c r="B115" s="3" t="n"/>
      <c r="C115" s="3" t="n"/>
      <c r="D115" s="3" t="n"/>
      <c r="E115" s="3" t="n"/>
      <c r="F115" s="3" t="n"/>
      <c r="G115" s="3" t="n"/>
    </row>
    <row r="116" ht="18" customHeight="1">
      <c r="A116" s="4" t="n"/>
      <c r="B116" s="4" t="n"/>
      <c r="C116" s="4" t="n"/>
      <c r="D116" s="4" t="n"/>
      <c r="E116" s="4" t="n"/>
      <c r="F116" s="4" t="n"/>
      <c r="G116" s="4" t="n"/>
    </row>
    <row r="117" ht="18" customHeight="1">
      <c r="A117" s="3" t="n"/>
      <c r="B117" s="3" t="n"/>
      <c r="C117" s="3" t="n"/>
      <c r="D117" s="3" t="n"/>
      <c r="E117" s="3" t="n"/>
      <c r="F117" s="3" t="n"/>
      <c r="G117" s="3" t="n"/>
    </row>
    <row r="118" ht="18" customHeight="1">
      <c r="A118" s="4" t="n"/>
      <c r="B118" s="4" t="n"/>
      <c r="C118" s="4" t="n"/>
      <c r="D118" s="4" t="n"/>
      <c r="E118" s="4" t="n"/>
      <c r="F118" s="4" t="n"/>
      <c r="G118" s="4" t="n"/>
    </row>
    <row r="119" ht="18" customHeight="1">
      <c r="A119" s="3" t="n"/>
      <c r="B119" s="3" t="n"/>
      <c r="C119" s="3" t="n"/>
      <c r="D119" s="3" t="n"/>
      <c r="E119" s="3" t="n"/>
      <c r="F119" s="3" t="n"/>
      <c r="G119" s="3" t="n"/>
    </row>
    <row r="120" ht="18" customHeight="1">
      <c r="A120" s="4" t="n"/>
      <c r="B120" s="4" t="n"/>
      <c r="C120" s="4" t="n"/>
      <c r="D120" s="4" t="n"/>
      <c r="E120" s="4" t="n"/>
      <c r="F120" s="4" t="n"/>
      <c r="G120" s="4" t="n"/>
    </row>
    <row r="121" ht="18" customHeight="1">
      <c r="A121" s="3" t="n"/>
      <c r="B121" s="3" t="n"/>
      <c r="C121" s="3" t="n"/>
      <c r="D121" s="3" t="n"/>
      <c r="E121" s="3" t="n"/>
      <c r="F121" s="3" t="n"/>
      <c r="G121" s="3" t="n"/>
    </row>
    <row r="122" ht="18" customHeight="1">
      <c r="A122" s="4" t="n"/>
      <c r="B122" s="4" t="n"/>
      <c r="C122" s="4" t="n"/>
      <c r="D122" s="4" t="n"/>
      <c r="E122" s="4" t="n"/>
      <c r="F122" s="4" t="n"/>
      <c r="G122" s="4" t="n"/>
    </row>
    <row r="123" ht="18" customHeight="1">
      <c r="A123" s="3" t="n"/>
      <c r="B123" s="3" t="n"/>
      <c r="C123" s="3" t="n"/>
      <c r="D123" s="3" t="n"/>
      <c r="E123" s="3" t="n"/>
      <c r="F123" s="3" t="n"/>
      <c r="G123" s="3" t="n"/>
    </row>
    <row r="124" ht="18" customHeight="1">
      <c r="A124" s="4" t="n"/>
      <c r="B124" s="4" t="n"/>
      <c r="C124" s="4" t="n"/>
      <c r="D124" s="4" t="n"/>
      <c r="E124" s="4" t="n"/>
      <c r="F124" s="4" t="n"/>
      <c r="G124" s="4" t="n"/>
    </row>
    <row r="125" ht="18" customHeight="1">
      <c r="A125" s="3" t="n"/>
      <c r="B125" s="3" t="n"/>
      <c r="C125" s="3" t="n"/>
      <c r="D125" s="3" t="n"/>
      <c r="E125" s="3" t="n"/>
      <c r="F125" s="3" t="n"/>
      <c r="G125" s="3" t="n"/>
    </row>
    <row r="126" ht="18" customHeight="1">
      <c r="A126" s="4" t="n"/>
      <c r="B126" s="4" t="n"/>
      <c r="C126" s="4" t="n"/>
      <c r="D126" s="4" t="n"/>
      <c r="E126" s="4" t="n"/>
      <c r="F126" s="4" t="n"/>
      <c r="G126" s="4" t="n"/>
    </row>
    <row r="127" ht="18" customHeight="1">
      <c r="A127" s="3" t="n"/>
      <c r="B127" s="3" t="n"/>
      <c r="C127" s="3" t="n"/>
      <c r="D127" s="3" t="n"/>
      <c r="E127" s="3" t="n"/>
      <c r="F127" s="3" t="n"/>
      <c r="G127" s="3" t="n"/>
    </row>
    <row r="128" ht="18" customHeight="1">
      <c r="A128" s="4" t="n"/>
      <c r="B128" s="4" t="n"/>
      <c r="C128" s="4" t="n"/>
      <c r="D128" s="4" t="n"/>
      <c r="E128" s="4" t="n"/>
      <c r="F128" s="4" t="n"/>
      <c r="G128" s="4" t="n"/>
    </row>
    <row r="129" ht="18" customHeight="1">
      <c r="A129" s="3" t="n"/>
      <c r="B129" s="3" t="n"/>
      <c r="C129" s="3" t="n"/>
      <c r="D129" s="3" t="n"/>
      <c r="E129" s="3" t="n"/>
      <c r="F129" s="3" t="n"/>
      <c r="G129" s="3" t="n"/>
    </row>
    <row r="130" ht="18" customHeight="1">
      <c r="A130" s="4" t="n"/>
      <c r="B130" s="4" t="n"/>
      <c r="C130" s="4" t="n"/>
      <c r="D130" s="4" t="n"/>
      <c r="E130" s="4" t="n"/>
      <c r="F130" s="4" t="n"/>
      <c r="G130" s="4" t="n"/>
    </row>
    <row r="131" ht="18" customHeight="1">
      <c r="A131" s="3" t="n"/>
      <c r="B131" s="3" t="n"/>
      <c r="C131" s="3" t="n"/>
      <c r="D131" s="3" t="n"/>
      <c r="E131" s="3" t="n"/>
      <c r="F131" s="3" t="n"/>
      <c r="G131" s="3" t="n"/>
    </row>
    <row r="132" ht="18" customHeight="1">
      <c r="A132" s="4" t="n"/>
      <c r="B132" s="4" t="n"/>
      <c r="C132" s="4" t="n"/>
      <c r="D132" s="4" t="n"/>
      <c r="E132" s="4" t="n"/>
      <c r="F132" s="4" t="n"/>
      <c r="G132" s="4" t="n"/>
    </row>
    <row r="133" ht="18" customHeight="1">
      <c r="A133" s="3" t="n"/>
      <c r="B133" s="3" t="n"/>
      <c r="C133" s="3" t="n"/>
      <c r="D133" s="3" t="n"/>
      <c r="E133" s="3" t="n"/>
      <c r="F133" s="3" t="n"/>
      <c r="G133" s="3" t="n"/>
    </row>
    <row r="134" ht="18" customHeight="1">
      <c r="A134" s="4" t="n"/>
      <c r="B134" s="4" t="n"/>
      <c r="C134" s="4" t="n"/>
      <c r="D134" s="4" t="n"/>
      <c r="E134" s="4" t="n"/>
      <c r="F134" s="4" t="n"/>
      <c r="G134" s="4" t="n"/>
    </row>
    <row r="135" ht="18" customHeight="1">
      <c r="A135" s="3" t="n"/>
      <c r="B135" s="3" t="n"/>
      <c r="C135" s="3" t="n"/>
      <c r="D135" s="3" t="n"/>
      <c r="E135" s="3" t="n"/>
      <c r="F135" s="3" t="n"/>
      <c r="G135" s="3" t="n"/>
    </row>
    <row r="136" ht="18" customHeight="1">
      <c r="A136" s="4" t="n"/>
      <c r="B136" s="4" t="n"/>
      <c r="C136" s="4" t="n"/>
      <c r="D136" s="4" t="n"/>
      <c r="E136" s="4" t="n"/>
      <c r="F136" s="4" t="n"/>
      <c r="G136" s="4" t="n"/>
    </row>
    <row r="137" ht="18" customHeight="1">
      <c r="A137" s="3" t="n"/>
      <c r="B137" s="3" t="n"/>
      <c r="C137" s="3" t="n"/>
      <c r="D137" s="3" t="n"/>
      <c r="E137" s="3" t="n"/>
      <c r="F137" s="3" t="n"/>
      <c r="G137" s="3" t="n"/>
    </row>
    <row r="138" ht="18" customHeight="1">
      <c r="A138" s="4" t="n"/>
      <c r="B138" s="4" t="n"/>
      <c r="C138" s="4" t="n"/>
      <c r="D138" s="4" t="n"/>
      <c r="E138" s="4" t="n"/>
      <c r="F138" s="4" t="n"/>
      <c r="G138" s="4" t="n"/>
    </row>
    <row r="139" ht="18" customHeight="1">
      <c r="A139" s="3" t="n"/>
      <c r="B139" s="3" t="n"/>
      <c r="C139" s="3" t="n"/>
      <c r="D139" s="3" t="n"/>
      <c r="E139" s="3" t="n"/>
      <c r="F139" s="3" t="n"/>
      <c r="G139" s="3" t="n"/>
    </row>
    <row r="140" ht="18" customHeight="1">
      <c r="A140" s="4" t="n"/>
      <c r="B140" s="4" t="n"/>
      <c r="C140" s="4" t="n"/>
      <c r="D140" s="4" t="n"/>
      <c r="E140" s="4" t="n"/>
      <c r="F140" s="4" t="n"/>
      <c r="G140" s="4" t="n"/>
    </row>
    <row r="141" ht="18" customHeight="1">
      <c r="A141" s="3" t="n"/>
      <c r="B141" s="3" t="n"/>
      <c r="C141" s="3" t="n"/>
      <c r="D141" s="3" t="n"/>
      <c r="E141" s="3" t="n"/>
      <c r="F141" s="3" t="n"/>
      <c r="G141" s="3" t="n"/>
    </row>
    <row r="142" ht="18" customHeight="1">
      <c r="A142" s="4" t="n"/>
      <c r="B142" s="4" t="n"/>
      <c r="C142" s="4" t="n"/>
      <c r="D142" s="4" t="n"/>
      <c r="E142" s="4" t="n"/>
      <c r="F142" s="4" t="n"/>
      <c r="G142" s="4" t="n"/>
    </row>
    <row r="143" ht="18" customHeight="1">
      <c r="A143" s="3" t="n"/>
      <c r="B143" s="3" t="n"/>
      <c r="C143" s="3" t="n"/>
      <c r="D143" s="3" t="n"/>
      <c r="E143" s="3" t="n"/>
      <c r="F143" s="3" t="n"/>
      <c r="G143" s="3" t="n"/>
    </row>
    <row r="144" ht="18" customHeight="1">
      <c r="A144" s="4" t="n"/>
      <c r="B144" s="4" t="n"/>
      <c r="C144" s="4" t="n"/>
      <c r="D144" s="4" t="n"/>
      <c r="E144" s="4" t="n"/>
      <c r="F144" s="4" t="n"/>
      <c r="G144" s="4" t="n"/>
    </row>
    <row r="145" ht="18" customHeight="1">
      <c r="A145" s="3" t="n"/>
      <c r="B145" s="3" t="n"/>
      <c r="C145" s="3" t="n"/>
      <c r="D145" s="3" t="n"/>
      <c r="E145" s="3" t="n"/>
      <c r="F145" s="3" t="n"/>
      <c r="G145" s="3" t="n"/>
    </row>
    <row r="146" ht="18" customHeight="1">
      <c r="A146" s="4" t="n"/>
      <c r="B146" s="4" t="n"/>
      <c r="C146" s="4" t="n"/>
      <c r="D146" s="4" t="n"/>
      <c r="E146" s="4" t="n"/>
      <c r="F146" s="4" t="n"/>
      <c r="G146" s="4" t="n"/>
    </row>
    <row r="147" ht="18" customHeight="1">
      <c r="A147" s="3" t="n"/>
      <c r="B147" s="3" t="n"/>
      <c r="C147" s="3" t="n"/>
      <c r="D147" s="3" t="n"/>
      <c r="E147" s="3" t="n"/>
      <c r="F147" s="3" t="n"/>
      <c r="G147" s="3" t="n"/>
    </row>
    <row r="148" ht="18" customHeight="1">
      <c r="A148" s="4" t="n"/>
      <c r="B148" s="4" t="n"/>
      <c r="C148" s="4" t="n"/>
      <c r="D148" s="4" t="n"/>
      <c r="E148" s="4" t="n"/>
      <c r="F148" s="4" t="n"/>
      <c r="G148" s="4" t="n"/>
    </row>
    <row r="149" ht="18" customHeight="1">
      <c r="A149" s="3" t="n"/>
      <c r="B149" s="3" t="n"/>
      <c r="C149" s="3" t="n"/>
      <c r="D149" s="3" t="n"/>
      <c r="E149" s="3" t="n"/>
      <c r="F149" s="3" t="n"/>
      <c r="G149" s="3" t="n"/>
    </row>
    <row r="150" ht="18" customHeight="1">
      <c r="A150" s="4" t="n"/>
      <c r="B150" s="4" t="n"/>
      <c r="C150" s="4" t="n"/>
      <c r="D150" s="4" t="n"/>
      <c r="E150" s="4" t="n"/>
      <c r="F150" s="4" t="n"/>
      <c r="G150" s="4" t="n"/>
    </row>
    <row r="151" ht="18" customHeight="1">
      <c r="A151" s="3" t="n"/>
      <c r="B151" s="3" t="n"/>
      <c r="C151" s="3" t="n"/>
      <c r="D151" s="3" t="n"/>
      <c r="E151" s="3" t="n"/>
      <c r="F151" s="3" t="n"/>
      <c r="G151" s="3" t="n"/>
    </row>
    <row r="152" ht="18" customHeight="1">
      <c r="A152" s="4" t="n"/>
      <c r="B152" s="4" t="n"/>
      <c r="C152" s="4" t="n"/>
      <c r="D152" s="4" t="n"/>
      <c r="E152" s="4" t="n"/>
      <c r="F152" s="4" t="n"/>
      <c r="G152" s="4" t="n"/>
    </row>
    <row r="153" ht="18" customHeight="1">
      <c r="A153" s="3" t="n"/>
      <c r="B153" s="3" t="n"/>
      <c r="C153" s="3" t="n"/>
      <c r="D153" s="3" t="n"/>
      <c r="E153" s="3" t="n"/>
      <c r="F153" s="3" t="n"/>
      <c r="G153" s="3" t="n"/>
    </row>
    <row r="154" ht="18" customHeight="1">
      <c r="A154" s="4" t="n"/>
      <c r="B154" s="4" t="n"/>
      <c r="C154" s="4" t="n"/>
      <c r="D154" s="4" t="n"/>
      <c r="E154" s="4" t="n"/>
      <c r="F154" s="4" t="n"/>
      <c r="G154" s="4" t="n"/>
    </row>
    <row r="155" ht="18" customHeight="1">
      <c r="A155" s="3" t="n"/>
      <c r="B155" s="3" t="n"/>
      <c r="C155" s="3" t="n"/>
      <c r="D155" s="3" t="n"/>
      <c r="E155" s="3" t="n"/>
      <c r="F155" s="3" t="n"/>
      <c r="G155" s="3" t="n"/>
    </row>
    <row r="156" ht="18" customHeight="1">
      <c r="A156" s="4" t="n"/>
      <c r="B156" s="4" t="n"/>
      <c r="C156" s="4" t="n"/>
      <c r="D156" s="4" t="n"/>
      <c r="E156" s="4" t="n"/>
      <c r="F156" s="4" t="n"/>
      <c r="G156" s="4" t="n"/>
    </row>
    <row r="157" ht="18" customHeight="1">
      <c r="A157" s="3" t="n"/>
      <c r="B157" s="3" t="n"/>
      <c r="C157" s="3" t="n"/>
      <c r="D157" s="3" t="n"/>
      <c r="E157" s="3" t="n"/>
      <c r="F157" s="3" t="n"/>
      <c r="G157" s="3" t="n"/>
    </row>
    <row r="158" ht="18" customHeight="1">
      <c r="A158" s="4" t="n"/>
      <c r="B158" s="4" t="n"/>
      <c r="C158" s="4" t="n"/>
      <c r="D158" s="4" t="n"/>
      <c r="E158" s="4" t="n"/>
      <c r="F158" s="4" t="n"/>
      <c r="G158" s="4" t="n"/>
    </row>
    <row r="159" ht="18" customHeight="1">
      <c r="A159" s="3" t="n"/>
      <c r="B159" s="3" t="n"/>
      <c r="C159" s="3" t="n"/>
      <c r="D159" s="3" t="n"/>
      <c r="E159" s="3" t="n"/>
      <c r="F159" s="3" t="n"/>
      <c r="G159" s="3" t="n"/>
    </row>
    <row r="160" ht="18" customHeight="1">
      <c r="A160" s="4" t="n"/>
      <c r="B160" s="4" t="n"/>
      <c r="C160" s="4" t="n"/>
      <c r="D160" s="4" t="n"/>
      <c r="E160" s="4" t="n"/>
      <c r="F160" s="4" t="n"/>
      <c r="G160" s="4" t="n"/>
    </row>
    <row r="161" ht="18" customHeight="1">
      <c r="A161" s="3" t="n"/>
      <c r="B161" s="3" t="n"/>
      <c r="C161" s="3" t="n"/>
      <c r="D161" s="3" t="n"/>
      <c r="E161" s="3" t="n"/>
      <c r="F161" s="3" t="n"/>
      <c r="G161" s="3" t="n"/>
    </row>
    <row r="162" ht="18" customHeight="1">
      <c r="A162" s="4" t="n"/>
      <c r="B162" s="4" t="n"/>
      <c r="C162" s="4" t="n"/>
      <c r="D162" s="4" t="n"/>
      <c r="E162" s="4" t="n"/>
      <c r="F162" s="4" t="n"/>
      <c r="G162" s="4" t="n"/>
    </row>
    <row r="163" ht="18" customHeight="1">
      <c r="A163" s="3" t="n"/>
      <c r="B163" s="3" t="n"/>
      <c r="C163" s="3" t="n"/>
      <c r="D163" s="3" t="n"/>
      <c r="E163" s="3" t="n"/>
      <c r="F163" s="3" t="n"/>
      <c r="G163" s="3" t="n"/>
    </row>
    <row r="164" ht="18" customHeight="1">
      <c r="A164" s="4" t="n"/>
      <c r="B164" s="4" t="n"/>
      <c r="C164" s="4" t="n"/>
      <c r="D164" s="4" t="n"/>
      <c r="E164" s="4" t="n"/>
      <c r="F164" s="4" t="n"/>
      <c r="G164" s="4" t="n"/>
    </row>
    <row r="165" ht="18" customHeight="1">
      <c r="A165" s="3" t="n"/>
      <c r="B165" s="3" t="n"/>
      <c r="C165" s="3" t="n"/>
      <c r="D165" s="3" t="n"/>
      <c r="E165" s="3" t="n"/>
      <c r="F165" s="3" t="n"/>
      <c r="G165" s="3" t="n"/>
    </row>
    <row r="166" ht="18" customHeight="1">
      <c r="A166" s="4" t="n"/>
      <c r="B166" s="4" t="n"/>
      <c r="C166" s="4" t="n"/>
      <c r="D166" s="4" t="n"/>
      <c r="E166" s="4" t="n"/>
      <c r="F166" s="4" t="n"/>
      <c r="G166" s="4" t="n"/>
    </row>
    <row r="167" ht="18" customHeight="1">
      <c r="A167" s="3" t="n"/>
      <c r="B167" s="3" t="n"/>
      <c r="C167" s="3" t="n"/>
      <c r="D167" s="3" t="n"/>
      <c r="E167" s="3" t="n"/>
      <c r="F167" s="3" t="n"/>
      <c r="G167" s="3" t="n"/>
    </row>
    <row r="168" ht="18" customHeight="1">
      <c r="A168" s="4" t="n"/>
      <c r="B168" s="4" t="n"/>
      <c r="C168" s="4" t="n"/>
      <c r="D168" s="4" t="n"/>
      <c r="E168" s="4" t="n"/>
      <c r="F168" s="4" t="n"/>
      <c r="G168" s="4" t="n"/>
    </row>
    <row r="169" ht="18" customHeight="1">
      <c r="A169" s="3" t="n"/>
      <c r="B169" s="3" t="n"/>
      <c r="C169" s="3" t="n"/>
      <c r="D169" s="3" t="n"/>
      <c r="E169" s="3" t="n"/>
      <c r="F169" s="3" t="n"/>
      <c r="G169" s="3" t="n"/>
    </row>
    <row r="170" ht="18" customHeight="1">
      <c r="A170" s="4" t="n"/>
      <c r="B170" s="4" t="n"/>
      <c r="C170" s="4" t="n"/>
      <c r="D170" s="4" t="n"/>
      <c r="E170" s="4" t="n"/>
      <c r="F170" s="4" t="n"/>
      <c r="G170" s="4" t="n"/>
    </row>
    <row r="171" ht="18" customHeight="1">
      <c r="A171" s="3" t="n"/>
      <c r="B171" s="3" t="n"/>
      <c r="C171" s="3" t="n"/>
      <c r="D171" s="3" t="n"/>
      <c r="E171" s="3" t="n"/>
      <c r="F171" s="3" t="n"/>
      <c r="G171" s="3" t="n"/>
    </row>
    <row r="172" ht="18" customHeight="1">
      <c r="A172" s="4" t="n"/>
      <c r="B172" s="4" t="n"/>
      <c r="C172" s="4" t="n"/>
      <c r="D172" s="4" t="n"/>
      <c r="E172" s="4" t="n"/>
      <c r="F172" s="4" t="n"/>
      <c r="G172" s="4" t="n"/>
    </row>
    <row r="173" ht="18" customHeight="1">
      <c r="A173" s="3" t="n"/>
      <c r="B173" s="3" t="n"/>
      <c r="C173" s="3" t="n"/>
      <c r="D173" s="3" t="n"/>
      <c r="E173" s="3" t="n"/>
      <c r="F173" s="3" t="n"/>
      <c r="G173" s="3" t="n"/>
    </row>
    <row r="174" ht="18" customHeight="1">
      <c r="A174" s="4" t="n"/>
      <c r="B174" s="4" t="n"/>
      <c r="C174" s="4" t="n"/>
      <c r="D174" s="4" t="n"/>
      <c r="E174" s="4" t="n"/>
      <c r="F174" s="4" t="n"/>
      <c r="G174" s="4" t="n"/>
    </row>
    <row r="175" ht="18" customHeight="1">
      <c r="A175" s="3" t="n"/>
      <c r="B175" s="3" t="n"/>
      <c r="C175" s="3" t="n"/>
      <c r="D175" s="3" t="n"/>
      <c r="E175" s="3" t="n"/>
      <c r="F175" s="3" t="n"/>
      <c r="G175" s="3" t="n"/>
    </row>
    <row r="176" ht="18" customHeight="1">
      <c r="A176" s="4" t="n"/>
      <c r="B176" s="4" t="n"/>
      <c r="C176" s="4" t="n"/>
      <c r="D176" s="4" t="n"/>
      <c r="E176" s="4" t="n"/>
      <c r="F176" s="4" t="n"/>
      <c r="G176" s="4" t="n"/>
    </row>
    <row r="177" ht="18" customHeight="1">
      <c r="A177" s="3" t="n"/>
      <c r="B177" s="3" t="n"/>
      <c r="C177" s="3" t="n"/>
      <c r="D177" s="3" t="n"/>
      <c r="E177" s="3" t="n"/>
      <c r="F177" s="3" t="n"/>
      <c r="G177" s="3" t="n"/>
    </row>
    <row r="178" ht="18" customHeight="1">
      <c r="A178" s="4" t="n"/>
      <c r="B178" s="4" t="n"/>
      <c r="C178" s="4" t="n"/>
      <c r="D178" s="4" t="n"/>
      <c r="E178" s="4" t="n"/>
      <c r="F178" s="4" t="n"/>
      <c r="G178" s="4" t="n"/>
    </row>
    <row r="179" ht="18" customHeight="1">
      <c r="A179" s="3" t="n"/>
      <c r="B179" s="3" t="n"/>
      <c r="C179" s="3" t="n"/>
      <c r="D179" s="3" t="n"/>
      <c r="E179" s="3" t="n"/>
      <c r="F179" s="3" t="n"/>
      <c r="G179" s="3" t="n"/>
    </row>
    <row r="180" ht="18" customHeight="1">
      <c r="A180" s="4" t="n"/>
      <c r="B180" s="4" t="n"/>
      <c r="C180" s="4" t="n"/>
      <c r="D180" s="4" t="n"/>
      <c r="E180" s="4" t="n"/>
      <c r="F180" s="4" t="n"/>
      <c r="G180" s="4" t="n"/>
    </row>
    <row r="181" ht="18" customHeight="1">
      <c r="A181" s="3" t="n"/>
      <c r="B181" s="3" t="n"/>
      <c r="C181" s="3" t="n"/>
      <c r="D181" s="3" t="n"/>
      <c r="E181" s="3" t="n"/>
      <c r="F181" s="3" t="n"/>
      <c r="G181" s="3" t="n"/>
    </row>
    <row r="182" ht="18" customHeight="1">
      <c r="A182" s="4" t="n"/>
      <c r="B182" s="4" t="n"/>
      <c r="C182" s="4" t="n"/>
      <c r="D182" s="4" t="n"/>
      <c r="E182" s="4" t="n"/>
      <c r="F182" s="4" t="n"/>
      <c r="G182" s="4" t="n"/>
    </row>
    <row r="183" ht="18" customHeight="1">
      <c r="A183" s="3" t="n"/>
      <c r="B183" s="3" t="n"/>
      <c r="C183" s="3" t="n"/>
      <c r="D183" s="3" t="n"/>
      <c r="E183" s="3" t="n"/>
      <c r="F183" s="3" t="n"/>
      <c r="G183" s="3" t="n"/>
    </row>
    <row r="184" ht="18" customHeight="1">
      <c r="A184" s="4" t="n"/>
      <c r="B184" s="4" t="n"/>
      <c r="C184" s="4" t="n"/>
      <c r="D184" s="4" t="n"/>
      <c r="E184" s="4" t="n"/>
      <c r="F184" s="4" t="n"/>
      <c r="G184" s="4" t="n"/>
    </row>
    <row r="185" ht="18" customHeight="1">
      <c r="A185" s="3" t="n"/>
      <c r="B185" s="3" t="n"/>
      <c r="C185" s="3" t="n"/>
      <c r="D185" s="3" t="n"/>
      <c r="E185" s="3" t="n"/>
      <c r="F185" s="3" t="n"/>
      <c r="G185" s="3" t="n"/>
    </row>
    <row r="186" ht="18" customHeight="1">
      <c r="A186" s="4" t="n"/>
      <c r="B186" s="4" t="n"/>
      <c r="C186" s="4" t="n"/>
      <c r="D186" s="4" t="n"/>
      <c r="E186" s="4" t="n"/>
      <c r="F186" s="4" t="n"/>
      <c r="G186" s="4" t="n"/>
    </row>
    <row r="187" ht="18" customHeight="1">
      <c r="A187" s="3" t="n"/>
      <c r="B187" s="3" t="n"/>
      <c r="C187" s="3" t="n"/>
      <c r="D187" s="3" t="n"/>
      <c r="E187" s="3" t="n"/>
      <c r="F187" s="3" t="n"/>
      <c r="G187" s="3" t="n"/>
    </row>
    <row r="188" ht="18" customHeight="1">
      <c r="A188" s="4" t="n"/>
      <c r="B188" s="4" t="n"/>
      <c r="C188" s="4" t="n"/>
      <c r="D188" s="4" t="n"/>
      <c r="E188" s="4" t="n"/>
      <c r="F188" s="4" t="n"/>
      <c r="G188" s="4" t="n"/>
    </row>
    <row r="189" ht="18" customHeight="1">
      <c r="A189" s="3" t="n"/>
      <c r="B189" s="3" t="n"/>
      <c r="C189" s="3" t="n"/>
      <c r="D189" s="3" t="n"/>
      <c r="E189" s="3" t="n"/>
      <c r="F189" s="3" t="n"/>
      <c r="G189" s="3" t="n"/>
    </row>
    <row r="190" ht="18" customHeight="1">
      <c r="A190" s="4" t="n"/>
      <c r="B190" s="4" t="n"/>
      <c r="C190" s="4" t="n"/>
      <c r="D190" s="4" t="n"/>
      <c r="E190" s="4" t="n"/>
      <c r="F190" s="4" t="n"/>
      <c r="G190" s="4" t="n"/>
    </row>
    <row r="191" ht="18" customHeight="1">
      <c r="A191" s="3" t="n"/>
      <c r="B191" s="3" t="n"/>
      <c r="C191" s="3" t="n"/>
      <c r="D191" s="3" t="n"/>
      <c r="E191" s="3" t="n"/>
      <c r="F191" s="3" t="n"/>
      <c r="G191" s="3" t="n"/>
    </row>
    <row r="192" ht="18" customHeight="1">
      <c r="A192" s="4" t="n"/>
      <c r="B192" s="4" t="n"/>
      <c r="C192" s="4" t="n"/>
      <c r="D192" s="4" t="n"/>
      <c r="E192" s="4" t="n"/>
      <c r="F192" s="4" t="n"/>
      <c r="G192" s="4" t="n"/>
    </row>
    <row r="193" ht="18" customHeight="1">
      <c r="A193" s="3" t="n"/>
      <c r="B193" s="3" t="n"/>
      <c r="C193" s="3" t="n"/>
      <c r="D193" s="3" t="n"/>
      <c r="E193" s="3" t="n"/>
      <c r="F193" s="3" t="n"/>
      <c r="G193" s="3" t="n"/>
    </row>
    <row r="194" ht="18" customHeight="1">
      <c r="A194" s="4" t="n"/>
      <c r="B194" s="4" t="n"/>
      <c r="C194" s="4" t="n"/>
      <c r="D194" s="4" t="n"/>
      <c r="E194" s="4" t="n"/>
      <c r="F194" s="4" t="n"/>
      <c r="G194" s="4" t="n"/>
    </row>
    <row r="195" ht="18" customHeight="1">
      <c r="A195" s="3" t="n"/>
      <c r="B195" s="3" t="n"/>
      <c r="C195" s="3" t="n"/>
      <c r="D195" s="3" t="n"/>
      <c r="E195" s="3" t="n"/>
      <c r="F195" s="3" t="n"/>
      <c r="G195" s="3" t="n"/>
    </row>
    <row r="196" ht="18" customHeight="1">
      <c r="A196" s="4" t="n"/>
      <c r="B196" s="4" t="n"/>
      <c r="C196" s="4" t="n"/>
      <c r="D196" s="4" t="n"/>
      <c r="E196" s="4" t="n"/>
      <c r="F196" s="4" t="n"/>
      <c r="G196" s="4" t="n"/>
    </row>
    <row r="197" ht="18" customHeight="1">
      <c r="A197" s="3" t="n"/>
      <c r="B197" s="3" t="n"/>
      <c r="C197" s="3" t="n"/>
      <c r="D197" s="3" t="n"/>
      <c r="E197" s="3" t="n"/>
      <c r="F197" s="3" t="n"/>
      <c r="G197" s="3" t="n"/>
    </row>
    <row r="198" ht="18" customHeight="1">
      <c r="A198" s="4" t="n"/>
      <c r="B198" s="4" t="n"/>
      <c r="C198" s="4" t="n"/>
      <c r="D198" s="4" t="n"/>
      <c r="E198" s="4" t="n"/>
      <c r="F198" s="4" t="n"/>
      <c r="G198" s="4" t="n"/>
    </row>
    <row r="199" ht="18" customHeight="1">
      <c r="A199" s="3" t="n"/>
      <c r="B199" s="3" t="n"/>
      <c r="C199" s="3" t="n"/>
      <c r="D199" s="3" t="n"/>
      <c r="E199" s="3" t="n"/>
      <c r="F199" s="3" t="n"/>
      <c r="G199" s="3" t="n"/>
    </row>
    <row r="200" ht="18" customHeight="1">
      <c r="A200" s="4" t="n"/>
      <c r="B200" s="4" t="n"/>
      <c r="C200" s="4" t="n"/>
      <c r="D200" s="4" t="n"/>
      <c r="E200" s="4" t="n"/>
      <c r="F200" s="4" t="n"/>
      <c r="G200" s="4" t="n"/>
    </row>
    <row r="201" ht="18" customHeight="1">
      <c r="A201" s="3" t="n"/>
      <c r="B201" s="3" t="n"/>
      <c r="C201" s="3" t="n"/>
      <c r="D201" s="3" t="n"/>
      <c r="E201" s="3" t="n"/>
      <c r="F201" s="3" t="n"/>
      <c r="G201" s="3" t="n"/>
    </row>
    <row r="202" ht="18" customHeight="1">
      <c r="A202" s="4" t="n"/>
      <c r="B202" s="4" t="n"/>
      <c r="C202" s="4" t="n"/>
      <c r="D202" s="4" t="n"/>
      <c r="E202" s="4" t="n"/>
      <c r="F202" s="4" t="n"/>
      <c r="G202" s="4" t="n"/>
    </row>
    <row r="203" ht="18" customHeight="1">
      <c r="A203" s="3" t="n"/>
      <c r="B203" s="3" t="n"/>
      <c r="C203" s="3" t="n"/>
      <c r="D203" s="3" t="n"/>
      <c r="E203" s="3" t="n"/>
      <c r="F203" s="3" t="n"/>
      <c r="G203" s="3" t="n"/>
    </row>
    <row r="204" ht="18" customHeight="1">
      <c r="A204" s="4" t="n"/>
      <c r="B204" s="4" t="n"/>
      <c r="C204" s="4" t="n"/>
      <c r="D204" s="4" t="n"/>
      <c r="E204" s="4" t="n"/>
      <c r="F204" s="4" t="n"/>
      <c r="G20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1" customWidth="1" min="4" max="4"/>
    <col width="15" customWidth="1" min="5" max="5"/>
    <col width="13" customWidth="1" min="6" max="6"/>
    <col width="10" customWidth="1" min="7" max="7"/>
    <col width="11" customWidth="1" min="8" max="8"/>
    <col width="13" customWidth="1" min="9" max="9"/>
    <col width="10" customWidth="1" min="10" max="10"/>
    <col width="12" customWidth="1" min="11" max="11"/>
    <col width="11" customWidth="1" min="12" max="12"/>
    <col width="13" customWidth="1" min="13" max="13"/>
    <col width="12" customWidth="1" min="14" max="14"/>
  </cols>
  <sheetData>
    <row r="1" ht="30" customHeight="1">
      <c r="A1" s="1" t="inlineStr">
        <is>
          <t>👥  PAYROLL &amp; SALARY CALCULATION</t>
        </is>
      </c>
    </row>
    <row r="2" ht="8" customHeight="1"/>
    <row r="3" ht="8" customHeight="1"/>
    <row r="4" ht="22" customHeight="1">
      <c r="A4" s="2" t="inlineStr">
        <is>
          <t>Emp ID</t>
        </is>
      </c>
      <c r="B4" s="2" t="inlineStr">
        <is>
          <t>Employee Name</t>
        </is>
      </c>
      <c r="C4" s="2" t="inlineStr">
        <is>
          <t>Position</t>
        </is>
      </c>
      <c r="D4" s="2" t="inlineStr">
        <is>
          <t>Daily Rate</t>
        </is>
      </c>
      <c r="E4" s="2" t="inlineStr">
        <is>
          <t>Attendance Days</t>
        </is>
      </c>
      <c r="F4" s="2" t="inlineStr">
        <is>
          <t>Hours Worked</t>
        </is>
      </c>
      <c r="G4" s="2" t="inlineStr">
        <is>
          <t>OT Hours</t>
        </is>
      </c>
      <c r="H4" s="2" t="inlineStr">
        <is>
          <t>OT Pay</t>
        </is>
      </c>
      <c r="I4" s="2" t="inlineStr">
        <is>
          <t>Gross Salary</t>
        </is>
      </c>
      <c r="J4" s="2" t="inlineStr">
        <is>
          <t>SSS</t>
        </is>
      </c>
      <c r="K4" s="2" t="inlineStr">
        <is>
          <t>PhilHealth</t>
        </is>
      </c>
      <c r="L4" s="2" t="inlineStr">
        <is>
          <t>Pag-IBIG</t>
        </is>
      </c>
      <c r="M4" s="2" t="inlineStr">
        <is>
          <t>Late Penalty</t>
        </is>
      </c>
      <c r="N4" s="2" t="inlineStr">
        <is>
          <t>Net Salary</t>
        </is>
      </c>
    </row>
    <row r="5" ht="18" customHeight="1">
      <c r="A5" s="3" t="n"/>
      <c r="B5" s="3" t="n"/>
      <c r="C5" s="3" t="n"/>
      <c r="D5" s="3" t="n"/>
      <c r="E5" s="3" t="n"/>
      <c r="F5" s="3" t="n"/>
      <c r="G5" s="3" t="n"/>
      <c r="H5" s="3">
        <f>ROUND((D5/8)*1.25*G5,2)</f>
        <v/>
      </c>
      <c r="I5" s="3">
        <f>D5*E5+H5</f>
        <v/>
      </c>
      <c r="J5" s="3" t="n"/>
      <c r="K5" s="3" t="n"/>
      <c r="L5" s="3" t="n"/>
      <c r="M5" s="3" t="n"/>
      <c r="N5" s="3">
        <f>I5-J5-K5-L5-M5</f>
        <v/>
      </c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>
        <f>ROUND((D6/8)*1.25*G6,2)</f>
        <v/>
      </c>
      <c r="I6" s="4">
        <f>D6*E6+H6</f>
        <v/>
      </c>
      <c r="J6" s="4" t="n"/>
      <c r="K6" s="4" t="n"/>
      <c r="L6" s="4" t="n"/>
      <c r="M6" s="4" t="n"/>
      <c r="N6" s="4">
        <f>I6-J6-K6-L6-M6</f>
        <v/>
      </c>
    </row>
    <row r="7" ht="18" customHeight="1">
      <c r="A7" s="3" t="n"/>
      <c r="B7" s="3" t="n"/>
      <c r="C7" s="3" t="n"/>
      <c r="D7" s="3" t="n"/>
      <c r="E7" s="3" t="n"/>
      <c r="F7" s="3" t="n"/>
      <c r="G7" s="3" t="n"/>
      <c r="H7" s="3">
        <f>ROUND((D7/8)*1.25*G7,2)</f>
        <v/>
      </c>
      <c r="I7" s="3">
        <f>D7*E7+H7</f>
        <v/>
      </c>
      <c r="J7" s="3" t="n"/>
      <c r="K7" s="3" t="n"/>
      <c r="L7" s="3" t="n"/>
      <c r="M7" s="3" t="n"/>
      <c r="N7" s="3">
        <f>I7-J7-K7-L7-M7</f>
        <v/>
      </c>
    </row>
    <row r="8" ht="18" customHeight="1">
      <c r="A8" s="4" t="n"/>
      <c r="B8" s="4" t="n"/>
      <c r="C8" s="4" t="n"/>
      <c r="D8" s="4" t="n"/>
      <c r="E8" s="4" t="n"/>
      <c r="F8" s="4" t="n"/>
      <c r="G8" s="4" t="n"/>
      <c r="H8" s="4">
        <f>ROUND((D8/8)*1.25*G8,2)</f>
        <v/>
      </c>
      <c r="I8" s="4">
        <f>D8*E8+H8</f>
        <v/>
      </c>
      <c r="J8" s="4" t="n"/>
      <c r="K8" s="4" t="n"/>
      <c r="L8" s="4" t="n"/>
      <c r="M8" s="4" t="n"/>
      <c r="N8" s="4">
        <f>I8-J8-K8-L8-M8</f>
        <v/>
      </c>
    </row>
    <row r="9" ht="18" customHeight="1">
      <c r="A9" s="3" t="n"/>
      <c r="B9" s="3" t="n"/>
      <c r="C9" s="3" t="n"/>
      <c r="D9" s="3" t="n"/>
      <c r="E9" s="3" t="n"/>
      <c r="F9" s="3" t="n"/>
      <c r="G9" s="3" t="n"/>
      <c r="H9" s="3">
        <f>ROUND((D9/8)*1.25*G9,2)</f>
        <v/>
      </c>
      <c r="I9" s="3">
        <f>D9*E9+H9</f>
        <v/>
      </c>
      <c r="J9" s="3" t="n"/>
      <c r="K9" s="3" t="n"/>
      <c r="L9" s="3" t="n"/>
      <c r="M9" s="3" t="n"/>
      <c r="N9" s="3">
        <f>I9-J9-K9-L9-M9</f>
        <v/>
      </c>
    </row>
    <row r="10" ht="18" customHeight="1">
      <c r="A10" s="4" t="n"/>
      <c r="B10" s="4" t="n"/>
      <c r="C10" s="4" t="n"/>
      <c r="D10" s="4" t="n"/>
      <c r="E10" s="4" t="n"/>
      <c r="F10" s="4" t="n"/>
      <c r="G10" s="4" t="n"/>
      <c r="H10" s="4">
        <f>ROUND((D10/8)*1.25*G10,2)</f>
        <v/>
      </c>
      <c r="I10" s="4">
        <f>D10*E10+H10</f>
        <v/>
      </c>
      <c r="J10" s="4" t="n"/>
      <c r="K10" s="4" t="n"/>
      <c r="L10" s="4" t="n"/>
      <c r="M10" s="4" t="n"/>
      <c r="N10" s="4">
        <f>I10-J10-K10-L10-M10</f>
        <v/>
      </c>
    </row>
    <row r="11" ht="18" customHeight="1">
      <c r="A11" s="3" t="n"/>
      <c r="B11" s="3" t="n"/>
      <c r="C11" s="3" t="n"/>
      <c r="D11" s="3" t="n"/>
      <c r="E11" s="3" t="n"/>
      <c r="F11" s="3" t="n"/>
      <c r="G11" s="3" t="n"/>
      <c r="H11" s="3">
        <f>ROUND((D11/8)*1.25*G11,2)</f>
        <v/>
      </c>
      <c r="I11" s="3">
        <f>D11*E11+H11</f>
        <v/>
      </c>
      <c r="J11" s="3" t="n"/>
      <c r="K11" s="3" t="n"/>
      <c r="L11" s="3" t="n"/>
      <c r="M11" s="3" t="n"/>
      <c r="N11" s="3">
        <f>I11-J11-K11-L11-M11</f>
        <v/>
      </c>
    </row>
    <row r="12" ht="18" customHeight="1">
      <c r="A12" s="4" t="n"/>
      <c r="B12" s="4" t="n"/>
      <c r="C12" s="4" t="n"/>
      <c r="D12" s="4" t="n"/>
      <c r="E12" s="4" t="n"/>
      <c r="F12" s="4" t="n"/>
      <c r="G12" s="4" t="n"/>
      <c r="H12" s="4">
        <f>ROUND((D12/8)*1.25*G12,2)</f>
        <v/>
      </c>
      <c r="I12" s="4">
        <f>D12*E12+H12</f>
        <v/>
      </c>
      <c r="J12" s="4" t="n"/>
      <c r="K12" s="4" t="n"/>
      <c r="L12" s="4" t="n"/>
      <c r="M12" s="4" t="n"/>
      <c r="N12" s="4">
        <f>I12-J12-K12-L12-M12</f>
        <v/>
      </c>
    </row>
    <row r="13" ht="18" customHeight="1">
      <c r="A13" s="3" t="n"/>
      <c r="B13" s="3" t="n"/>
      <c r="C13" s="3" t="n"/>
      <c r="D13" s="3" t="n"/>
      <c r="E13" s="3" t="n"/>
      <c r="F13" s="3" t="n"/>
      <c r="G13" s="3" t="n"/>
      <c r="H13" s="3">
        <f>ROUND((D13/8)*1.25*G13,2)</f>
        <v/>
      </c>
      <c r="I13" s="3">
        <f>D13*E13+H13</f>
        <v/>
      </c>
      <c r="J13" s="3" t="n"/>
      <c r="K13" s="3" t="n"/>
      <c r="L13" s="3" t="n"/>
      <c r="M13" s="3" t="n"/>
      <c r="N13" s="3">
        <f>I13-J13-K13-L13-M13</f>
        <v/>
      </c>
    </row>
    <row r="14" ht="18" customHeight="1">
      <c r="A14" s="4" t="n"/>
      <c r="B14" s="4" t="n"/>
      <c r="C14" s="4" t="n"/>
      <c r="D14" s="4" t="n"/>
      <c r="E14" s="4" t="n"/>
      <c r="F14" s="4" t="n"/>
      <c r="G14" s="4" t="n"/>
      <c r="H14" s="4">
        <f>ROUND((D14/8)*1.25*G14,2)</f>
        <v/>
      </c>
      <c r="I14" s="4">
        <f>D14*E14+H14</f>
        <v/>
      </c>
      <c r="J14" s="4" t="n"/>
      <c r="K14" s="4" t="n"/>
      <c r="L14" s="4" t="n"/>
      <c r="M14" s="4" t="n"/>
      <c r="N14" s="4">
        <f>I14-J14-K14-L14-M14</f>
        <v/>
      </c>
    </row>
    <row r="15" ht="18" customHeight="1">
      <c r="A15" s="3" t="n"/>
      <c r="B15" s="3" t="n"/>
      <c r="C15" s="3" t="n"/>
      <c r="D15" s="3" t="n"/>
      <c r="E15" s="3" t="n"/>
      <c r="F15" s="3" t="n"/>
      <c r="G15" s="3" t="n"/>
      <c r="H15" s="3">
        <f>ROUND((D15/8)*1.25*G15,2)</f>
        <v/>
      </c>
      <c r="I15" s="3">
        <f>D15*E15+H15</f>
        <v/>
      </c>
      <c r="J15" s="3" t="n"/>
      <c r="K15" s="3" t="n"/>
      <c r="L15" s="3" t="n"/>
      <c r="M15" s="3" t="n"/>
      <c r="N15" s="3">
        <f>I15-J15-K15-L15-M15</f>
        <v/>
      </c>
    </row>
    <row r="16" ht="18" customHeight="1">
      <c r="A16" s="4" t="n"/>
      <c r="B16" s="4" t="n"/>
      <c r="C16" s="4" t="n"/>
      <c r="D16" s="4" t="n"/>
      <c r="E16" s="4" t="n"/>
      <c r="F16" s="4" t="n"/>
      <c r="G16" s="4" t="n"/>
      <c r="H16" s="4">
        <f>ROUND((D16/8)*1.25*G16,2)</f>
        <v/>
      </c>
      <c r="I16" s="4">
        <f>D16*E16+H16</f>
        <v/>
      </c>
      <c r="J16" s="4" t="n"/>
      <c r="K16" s="4" t="n"/>
      <c r="L16" s="4" t="n"/>
      <c r="M16" s="4" t="n"/>
      <c r="N16" s="4">
        <f>I16-J16-K16-L16-M16</f>
        <v/>
      </c>
    </row>
    <row r="17" ht="18" customHeight="1">
      <c r="A17" s="3" t="n"/>
      <c r="B17" s="3" t="n"/>
      <c r="C17" s="3" t="n"/>
      <c r="D17" s="3" t="n"/>
      <c r="E17" s="3" t="n"/>
      <c r="F17" s="3" t="n"/>
      <c r="G17" s="3" t="n"/>
      <c r="H17" s="3">
        <f>ROUND((D17/8)*1.25*G17,2)</f>
        <v/>
      </c>
      <c r="I17" s="3">
        <f>D17*E17+H17</f>
        <v/>
      </c>
      <c r="J17" s="3" t="n"/>
      <c r="K17" s="3" t="n"/>
      <c r="L17" s="3" t="n"/>
      <c r="M17" s="3" t="n"/>
      <c r="N17" s="3">
        <f>I17-J17-K17-L17-M17</f>
        <v/>
      </c>
    </row>
    <row r="18" ht="18" customHeight="1">
      <c r="A18" s="4" t="n"/>
      <c r="B18" s="4" t="n"/>
      <c r="C18" s="4" t="n"/>
      <c r="D18" s="4" t="n"/>
      <c r="E18" s="4" t="n"/>
      <c r="F18" s="4" t="n"/>
      <c r="G18" s="4" t="n"/>
      <c r="H18" s="4">
        <f>ROUND((D18/8)*1.25*G18,2)</f>
        <v/>
      </c>
      <c r="I18" s="4">
        <f>D18*E18+H18</f>
        <v/>
      </c>
      <c r="J18" s="4" t="n"/>
      <c r="K18" s="4" t="n"/>
      <c r="L18" s="4" t="n"/>
      <c r="M18" s="4" t="n"/>
      <c r="N18" s="4">
        <f>I18-J18-K18-L18-M18</f>
        <v/>
      </c>
    </row>
    <row r="19" ht="18" customHeight="1">
      <c r="A19" s="3" t="n"/>
      <c r="B19" s="3" t="n"/>
      <c r="C19" s="3" t="n"/>
      <c r="D19" s="3" t="n"/>
      <c r="E19" s="3" t="n"/>
      <c r="F19" s="3" t="n"/>
      <c r="G19" s="3" t="n"/>
      <c r="H19" s="3">
        <f>ROUND((D19/8)*1.25*G19,2)</f>
        <v/>
      </c>
      <c r="I19" s="3">
        <f>D19*E19+H19</f>
        <v/>
      </c>
      <c r="J19" s="3" t="n"/>
      <c r="K19" s="3" t="n"/>
      <c r="L19" s="3" t="n"/>
      <c r="M19" s="3" t="n"/>
      <c r="N19" s="3">
        <f>I19-J19-K19-L19-M19</f>
        <v/>
      </c>
    </row>
    <row r="20" ht="18" customHeight="1">
      <c r="A20" s="4" t="n"/>
      <c r="B20" s="4" t="n"/>
      <c r="C20" s="4" t="n"/>
      <c r="D20" s="4" t="n"/>
      <c r="E20" s="4" t="n"/>
      <c r="F20" s="4" t="n"/>
      <c r="G20" s="4" t="n"/>
      <c r="H20" s="4">
        <f>ROUND((D20/8)*1.25*G20,2)</f>
        <v/>
      </c>
      <c r="I20" s="4">
        <f>D20*E20+H20</f>
        <v/>
      </c>
      <c r="J20" s="4" t="n"/>
      <c r="K20" s="4" t="n"/>
      <c r="L20" s="4" t="n"/>
      <c r="M20" s="4" t="n"/>
      <c r="N20" s="4">
        <f>I20-J20-K20-L20-M20</f>
        <v/>
      </c>
    </row>
    <row r="21" ht="18" customHeight="1">
      <c r="A21" s="3" t="n"/>
      <c r="B21" s="3" t="n"/>
      <c r="C21" s="3" t="n"/>
      <c r="D21" s="3" t="n"/>
      <c r="E21" s="3" t="n"/>
      <c r="F21" s="3" t="n"/>
      <c r="G21" s="3" t="n"/>
      <c r="H21" s="3">
        <f>ROUND((D21/8)*1.25*G21,2)</f>
        <v/>
      </c>
      <c r="I21" s="3">
        <f>D21*E21+H21</f>
        <v/>
      </c>
      <c r="J21" s="3" t="n"/>
      <c r="K21" s="3" t="n"/>
      <c r="L21" s="3" t="n"/>
      <c r="M21" s="3" t="n"/>
      <c r="N21" s="3">
        <f>I21-J21-K21-L21-M21</f>
        <v/>
      </c>
    </row>
    <row r="22" ht="18" customHeight="1">
      <c r="A22" s="4" t="n"/>
      <c r="B22" s="4" t="n"/>
      <c r="C22" s="4" t="n"/>
      <c r="D22" s="4" t="n"/>
      <c r="E22" s="4" t="n"/>
      <c r="F22" s="4" t="n"/>
      <c r="G22" s="4" t="n"/>
      <c r="H22" s="4">
        <f>ROUND((D22/8)*1.25*G22,2)</f>
        <v/>
      </c>
      <c r="I22" s="4">
        <f>D22*E22+H22</f>
        <v/>
      </c>
      <c r="J22" s="4" t="n"/>
      <c r="K22" s="4" t="n"/>
      <c r="L22" s="4" t="n"/>
      <c r="M22" s="4" t="n"/>
      <c r="N22" s="4">
        <f>I22-J22-K22-L22-M22</f>
        <v/>
      </c>
    </row>
    <row r="23" ht="18" customHeight="1">
      <c r="A23" s="3" t="n"/>
      <c r="B23" s="3" t="n"/>
      <c r="C23" s="3" t="n"/>
      <c r="D23" s="3" t="n"/>
      <c r="E23" s="3" t="n"/>
      <c r="F23" s="3" t="n"/>
      <c r="G23" s="3" t="n"/>
      <c r="H23" s="3">
        <f>ROUND((D23/8)*1.25*G23,2)</f>
        <v/>
      </c>
      <c r="I23" s="3">
        <f>D23*E23+H23</f>
        <v/>
      </c>
      <c r="J23" s="3" t="n"/>
      <c r="K23" s="3" t="n"/>
      <c r="L23" s="3" t="n"/>
      <c r="M23" s="3" t="n"/>
      <c r="N23" s="3">
        <f>I23-J23-K23-L23-M23</f>
        <v/>
      </c>
    </row>
    <row r="24" ht="18" customHeight="1">
      <c r="A24" s="4" t="n"/>
      <c r="B24" s="4" t="n"/>
      <c r="C24" s="4" t="n"/>
      <c r="D24" s="4" t="n"/>
      <c r="E24" s="4" t="n"/>
      <c r="F24" s="4" t="n"/>
      <c r="G24" s="4" t="n"/>
      <c r="H24" s="4">
        <f>ROUND((D24/8)*1.25*G24,2)</f>
        <v/>
      </c>
      <c r="I24" s="4">
        <f>D24*E24+H24</f>
        <v/>
      </c>
      <c r="J24" s="4" t="n"/>
      <c r="K24" s="4" t="n"/>
      <c r="L24" s="4" t="n"/>
      <c r="M24" s="4" t="n"/>
      <c r="N24" s="4">
        <f>I24-J24-K24-L24-M24</f>
        <v/>
      </c>
    </row>
    <row r="25" ht="18" customHeight="1">
      <c r="A25" s="3" t="n"/>
      <c r="B25" s="3" t="n"/>
      <c r="C25" s="3" t="n"/>
      <c r="D25" s="3" t="n"/>
      <c r="E25" s="3" t="n"/>
      <c r="F25" s="3" t="n"/>
      <c r="G25" s="3" t="n"/>
      <c r="H25" s="3">
        <f>ROUND((D25/8)*1.25*G25,2)</f>
        <v/>
      </c>
      <c r="I25" s="3">
        <f>D25*E25+H25</f>
        <v/>
      </c>
      <c r="J25" s="3" t="n"/>
      <c r="K25" s="3" t="n"/>
      <c r="L25" s="3" t="n"/>
      <c r="M25" s="3" t="n"/>
      <c r="N25" s="3">
        <f>I25-J25-K25-L25-M25</f>
        <v/>
      </c>
    </row>
    <row r="26" ht="18" customHeight="1">
      <c r="A26" s="4" t="n"/>
      <c r="B26" s="4" t="n"/>
      <c r="C26" s="4" t="n"/>
      <c r="D26" s="4" t="n"/>
      <c r="E26" s="4" t="n"/>
      <c r="F26" s="4" t="n"/>
      <c r="G26" s="4" t="n"/>
      <c r="H26" s="4">
        <f>ROUND((D26/8)*1.25*G26,2)</f>
        <v/>
      </c>
      <c r="I26" s="4">
        <f>D26*E26+H26</f>
        <v/>
      </c>
      <c r="J26" s="4" t="n"/>
      <c r="K26" s="4" t="n"/>
      <c r="L26" s="4" t="n"/>
      <c r="M26" s="4" t="n"/>
      <c r="N26" s="4">
        <f>I26-J26-K26-L26-M26</f>
        <v/>
      </c>
    </row>
    <row r="27" ht="18" customHeight="1">
      <c r="A27" s="3" t="n"/>
      <c r="B27" s="3" t="n"/>
      <c r="C27" s="3" t="n"/>
      <c r="D27" s="3" t="n"/>
      <c r="E27" s="3" t="n"/>
      <c r="F27" s="3" t="n"/>
      <c r="G27" s="3" t="n"/>
      <c r="H27" s="3">
        <f>ROUND((D27/8)*1.25*G27,2)</f>
        <v/>
      </c>
      <c r="I27" s="3">
        <f>D27*E27+H27</f>
        <v/>
      </c>
      <c r="J27" s="3" t="n"/>
      <c r="K27" s="3" t="n"/>
      <c r="L27" s="3" t="n"/>
      <c r="M27" s="3" t="n"/>
      <c r="N27" s="3">
        <f>I27-J27-K27-L27-M27</f>
        <v/>
      </c>
    </row>
    <row r="28" ht="18" customHeight="1">
      <c r="A28" s="4" t="n"/>
      <c r="B28" s="4" t="n"/>
      <c r="C28" s="4" t="n"/>
      <c r="D28" s="4" t="n"/>
      <c r="E28" s="4" t="n"/>
      <c r="F28" s="4" t="n"/>
      <c r="G28" s="4" t="n"/>
      <c r="H28" s="4">
        <f>ROUND((D28/8)*1.25*G28,2)</f>
        <v/>
      </c>
      <c r="I28" s="4">
        <f>D28*E28+H28</f>
        <v/>
      </c>
      <c r="J28" s="4" t="n"/>
      <c r="K28" s="4" t="n"/>
      <c r="L28" s="4" t="n"/>
      <c r="M28" s="4" t="n"/>
      <c r="N28" s="4">
        <f>I28-J28-K28-L28-M28</f>
        <v/>
      </c>
    </row>
    <row r="29" ht="18" customHeight="1">
      <c r="A29" s="3" t="n"/>
      <c r="B29" s="3" t="n"/>
      <c r="C29" s="3" t="n"/>
      <c r="D29" s="3" t="n"/>
      <c r="E29" s="3" t="n"/>
      <c r="F29" s="3" t="n"/>
      <c r="G29" s="3" t="n"/>
      <c r="H29" s="3">
        <f>ROUND((D29/8)*1.25*G29,2)</f>
        <v/>
      </c>
      <c r="I29" s="3">
        <f>D29*E29+H29</f>
        <v/>
      </c>
      <c r="J29" s="3" t="n"/>
      <c r="K29" s="3" t="n"/>
      <c r="L29" s="3" t="n"/>
      <c r="M29" s="3" t="n"/>
      <c r="N29" s="3">
        <f>I29-J29-K29-L29-M29</f>
        <v/>
      </c>
    </row>
    <row r="30" ht="18" customHeight="1">
      <c r="A30" s="4" t="n"/>
      <c r="B30" s="4" t="n"/>
      <c r="C30" s="4" t="n"/>
      <c r="D30" s="4" t="n"/>
      <c r="E30" s="4" t="n"/>
      <c r="F30" s="4" t="n"/>
      <c r="G30" s="4" t="n"/>
      <c r="H30" s="4">
        <f>ROUND((D30/8)*1.25*G30,2)</f>
        <v/>
      </c>
      <c r="I30" s="4">
        <f>D30*E30+H30</f>
        <v/>
      </c>
      <c r="J30" s="4" t="n"/>
      <c r="K30" s="4" t="n"/>
      <c r="L30" s="4" t="n"/>
      <c r="M30" s="4" t="n"/>
      <c r="N30" s="4">
        <f>I30-J30-K30-L30-M30</f>
        <v/>
      </c>
    </row>
    <row r="31" ht="18" customHeight="1">
      <c r="A31" s="3" t="n"/>
      <c r="B31" s="3" t="n"/>
      <c r="C31" s="3" t="n"/>
      <c r="D31" s="3" t="n"/>
      <c r="E31" s="3" t="n"/>
      <c r="F31" s="3" t="n"/>
      <c r="G31" s="3" t="n"/>
      <c r="H31" s="3">
        <f>ROUND((D31/8)*1.25*G31,2)</f>
        <v/>
      </c>
      <c r="I31" s="3">
        <f>D31*E31+H31</f>
        <v/>
      </c>
      <c r="J31" s="3" t="n"/>
      <c r="K31" s="3" t="n"/>
      <c r="L31" s="3" t="n"/>
      <c r="M31" s="3" t="n"/>
      <c r="N31" s="3">
        <f>I31-J31-K31-L31-M31</f>
        <v/>
      </c>
    </row>
    <row r="32" ht="18" customHeight="1">
      <c r="A32" s="4" t="n"/>
      <c r="B32" s="4" t="n"/>
      <c r="C32" s="4" t="n"/>
      <c r="D32" s="4" t="n"/>
      <c r="E32" s="4" t="n"/>
      <c r="F32" s="4" t="n"/>
      <c r="G32" s="4" t="n"/>
      <c r="H32" s="4">
        <f>ROUND((D32/8)*1.25*G32,2)</f>
        <v/>
      </c>
      <c r="I32" s="4">
        <f>D32*E32+H32</f>
        <v/>
      </c>
      <c r="J32" s="4" t="n"/>
      <c r="K32" s="4" t="n"/>
      <c r="L32" s="4" t="n"/>
      <c r="M32" s="4" t="n"/>
      <c r="N32" s="4">
        <f>I32-J32-K32-L32-M32</f>
        <v/>
      </c>
    </row>
    <row r="33" ht="18" customHeight="1">
      <c r="A33" s="3" t="n"/>
      <c r="B33" s="3" t="n"/>
      <c r="C33" s="3" t="n"/>
      <c r="D33" s="3" t="n"/>
      <c r="E33" s="3" t="n"/>
      <c r="F33" s="3" t="n"/>
      <c r="G33" s="3" t="n"/>
      <c r="H33" s="3">
        <f>ROUND((D33/8)*1.25*G33,2)</f>
        <v/>
      </c>
      <c r="I33" s="3">
        <f>D33*E33+H33</f>
        <v/>
      </c>
      <c r="J33" s="3" t="n"/>
      <c r="K33" s="3" t="n"/>
      <c r="L33" s="3" t="n"/>
      <c r="M33" s="3" t="n"/>
      <c r="N33" s="3">
        <f>I33-J33-K33-L33-M33</f>
        <v/>
      </c>
    </row>
    <row r="34" ht="18" customHeight="1">
      <c r="A34" s="4" t="n"/>
      <c r="B34" s="4" t="n"/>
      <c r="C34" s="4" t="n"/>
      <c r="D34" s="4" t="n"/>
      <c r="E34" s="4" t="n"/>
      <c r="F34" s="4" t="n"/>
      <c r="G34" s="4" t="n"/>
      <c r="H34" s="4">
        <f>ROUND((D34/8)*1.25*G34,2)</f>
        <v/>
      </c>
      <c r="I34" s="4">
        <f>D34*E34+H34</f>
        <v/>
      </c>
      <c r="J34" s="4" t="n"/>
      <c r="K34" s="4" t="n"/>
      <c r="L34" s="4" t="n"/>
      <c r="M34" s="4" t="n"/>
      <c r="N34" s="4">
        <f>I34-J34-K34-L34-M34</f>
        <v/>
      </c>
    </row>
    <row r="35" ht="18" customHeight="1">
      <c r="A35" s="3" t="n"/>
      <c r="B35" s="3" t="n"/>
      <c r="C35" s="3" t="n"/>
      <c r="D35" s="3" t="n"/>
      <c r="E35" s="3" t="n"/>
      <c r="F35" s="3" t="n"/>
      <c r="G35" s="3" t="n"/>
      <c r="H35" s="3">
        <f>ROUND((D35/8)*1.25*G35,2)</f>
        <v/>
      </c>
      <c r="I35" s="3">
        <f>D35*E35+H35</f>
        <v/>
      </c>
      <c r="J35" s="3" t="n"/>
      <c r="K35" s="3" t="n"/>
      <c r="L35" s="3" t="n"/>
      <c r="M35" s="3" t="n"/>
      <c r="N35" s="3">
        <f>I35-J35-K35-L35-M35</f>
        <v/>
      </c>
    </row>
    <row r="36" ht="18" customHeight="1">
      <c r="A36" s="4" t="n"/>
      <c r="B36" s="4" t="n"/>
      <c r="C36" s="4" t="n"/>
      <c r="D36" s="4" t="n"/>
      <c r="E36" s="4" t="n"/>
      <c r="F36" s="4" t="n"/>
      <c r="G36" s="4" t="n"/>
      <c r="H36" s="4">
        <f>ROUND((D36/8)*1.25*G36,2)</f>
        <v/>
      </c>
      <c r="I36" s="4">
        <f>D36*E36+H36</f>
        <v/>
      </c>
      <c r="J36" s="4" t="n"/>
      <c r="K36" s="4" t="n"/>
      <c r="L36" s="4" t="n"/>
      <c r="M36" s="4" t="n"/>
      <c r="N36" s="4">
        <f>I36-J36-K36-L36-M36</f>
        <v/>
      </c>
    </row>
    <row r="37" ht="18" customHeight="1">
      <c r="A37" s="3" t="n"/>
      <c r="B37" s="3" t="n"/>
      <c r="C37" s="3" t="n"/>
      <c r="D37" s="3" t="n"/>
      <c r="E37" s="3" t="n"/>
      <c r="F37" s="3" t="n"/>
      <c r="G37" s="3" t="n"/>
      <c r="H37" s="3">
        <f>ROUND((D37/8)*1.25*G37,2)</f>
        <v/>
      </c>
      <c r="I37" s="3">
        <f>D37*E37+H37</f>
        <v/>
      </c>
      <c r="J37" s="3" t="n"/>
      <c r="K37" s="3" t="n"/>
      <c r="L37" s="3" t="n"/>
      <c r="M37" s="3" t="n"/>
      <c r="N37" s="3">
        <f>I37-J37-K37-L37-M37</f>
        <v/>
      </c>
    </row>
    <row r="38" ht="18" customHeight="1">
      <c r="A38" s="4" t="n"/>
      <c r="B38" s="4" t="n"/>
      <c r="C38" s="4" t="n"/>
      <c r="D38" s="4" t="n"/>
      <c r="E38" s="4" t="n"/>
      <c r="F38" s="4" t="n"/>
      <c r="G38" s="4" t="n"/>
      <c r="H38" s="4">
        <f>ROUND((D38/8)*1.25*G38,2)</f>
        <v/>
      </c>
      <c r="I38" s="4">
        <f>D38*E38+H38</f>
        <v/>
      </c>
      <c r="J38" s="4" t="n"/>
      <c r="K38" s="4" t="n"/>
      <c r="L38" s="4" t="n"/>
      <c r="M38" s="4" t="n"/>
      <c r="N38" s="4">
        <f>I38-J38-K38-L38-M38</f>
        <v/>
      </c>
    </row>
    <row r="39" ht="18" customHeight="1">
      <c r="A39" s="3" t="n"/>
      <c r="B39" s="3" t="n"/>
      <c r="C39" s="3" t="n"/>
      <c r="D39" s="3" t="n"/>
      <c r="E39" s="3" t="n"/>
      <c r="F39" s="3" t="n"/>
      <c r="G39" s="3" t="n"/>
      <c r="H39" s="3">
        <f>ROUND((D39/8)*1.25*G39,2)</f>
        <v/>
      </c>
      <c r="I39" s="3">
        <f>D39*E39+H39</f>
        <v/>
      </c>
      <c r="J39" s="3" t="n"/>
      <c r="K39" s="3" t="n"/>
      <c r="L39" s="3" t="n"/>
      <c r="M39" s="3" t="n"/>
      <c r="N39" s="3">
        <f>I39-J39-K39-L39-M39</f>
        <v/>
      </c>
    </row>
    <row r="40" ht="18" customHeight="1">
      <c r="A40" s="4" t="n"/>
      <c r="B40" s="4" t="n"/>
      <c r="C40" s="4" t="n"/>
      <c r="D40" s="4" t="n"/>
      <c r="E40" s="4" t="n"/>
      <c r="F40" s="4" t="n"/>
      <c r="G40" s="4" t="n"/>
      <c r="H40" s="4">
        <f>ROUND((D40/8)*1.25*G40,2)</f>
        <v/>
      </c>
      <c r="I40" s="4">
        <f>D40*E40+H40</f>
        <v/>
      </c>
      <c r="J40" s="4" t="n"/>
      <c r="K40" s="4" t="n"/>
      <c r="L40" s="4" t="n"/>
      <c r="M40" s="4" t="n"/>
      <c r="N40" s="4">
        <f>I40-J40-K40-L40-M40</f>
        <v/>
      </c>
    </row>
    <row r="41" ht="18" customHeight="1">
      <c r="A41" s="3" t="n"/>
      <c r="B41" s="3" t="n"/>
      <c r="C41" s="3" t="n"/>
      <c r="D41" s="3" t="n"/>
      <c r="E41" s="3" t="n"/>
      <c r="F41" s="3" t="n"/>
      <c r="G41" s="3" t="n"/>
      <c r="H41" s="3">
        <f>ROUND((D41/8)*1.25*G41,2)</f>
        <v/>
      </c>
      <c r="I41" s="3">
        <f>D41*E41+H41</f>
        <v/>
      </c>
      <c r="J41" s="3" t="n"/>
      <c r="K41" s="3" t="n"/>
      <c r="L41" s="3" t="n"/>
      <c r="M41" s="3" t="n"/>
      <c r="N41" s="3">
        <f>I41-J41-K41-L41-M41</f>
        <v/>
      </c>
    </row>
    <row r="42" ht="18" customHeight="1">
      <c r="A42" s="4" t="n"/>
      <c r="B42" s="4" t="n"/>
      <c r="C42" s="4" t="n"/>
      <c r="D42" s="4" t="n"/>
      <c r="E42" s="4" t="n"/>
      <c r="F42" s="4" t="n"/>
      <c r="G42" s="4" t="n"/>
      <c r="H42" s="4">
        <f>ROUND((D42/8)*1.25*G42,2)</f>
        <v/>
      </c>
      <c r="I42" s="4">
        <f>D42*E42+H42</f>
        <v/>
      </c>
      <c r="J42" s="4" t="n"/>
      <c r="K42" s="4" t="n"/>
      <c r="L42" s="4" t="n"/>
      <c r="M42" s="4" t="n"/>
      <c r="N42" s="4">
        <f>I42-J42-K42-L42-M42</f>
        <v/>
      </c>
    </row>
    <row r="43" ht="18" customHeight="1">
      <c r="A43" s="3" t="n"/>
      <c r="B43" s="3" t="n"/>
      <c r="C43" s="3" t="n"/>
      <c r="D43" s="3" t="n"/>
      <c r="E43" s="3" t="n"/>
      <c r="F43" s="3" t="n"/>
      <c r="G43" s="3" t="n"/>
      <c r="H43" s="3">
        <f>ROUND((D43/8)*1.25*G43,2)</f>
        <v/>
      </c>
      <c r="I43" s="3">
        <f>D43*E43+H43</f>
        <v/>
      </c>
      <c r="J43" s="3" t="n"/>
      <c r="K43" s="3" t="n"/>
      <c r="L43" s="3" t="n"/>
      <c r="M43" s="3" t="n"/>
      <c r="N43" s="3">
        <f>I43-J43-K43-L43-M43</f>
        <v/>
      </c>
    </row>
    <row r="44" ht="18" customHeight="1">
      <c r="A44" s="4" t="n"/>
      <c r="B44" s="4" t="n"/>
      <c r="C44" s="4" t="n"/>
      <c r="D44" s="4" t="n"/>
      <c r="E44" s="4" t="n"/>
      <c r="F44" s="4" t="n"/>
      <c r="G44" s="4" t="n"/>
      <c r="H44" s="4">
        <f>ROUND((D44/8)*1.25*G44,2)</f>
        <v/>
      </c>
      <c r="I44" s="4">
        <f>D44*E44+H44</f>
        <v/>
      </c>
      <c r="J44" s="4" t="n"/>
      <c r="K44" s="4" t="n"/>
      <c r="L44" s="4" t="n"/>
      <c r="M44" s="4" t="n"/>
      <c r="N44" s="4">
        <f>I44-J44-K44-L44-M44</f>
        <v/>
      </c>
    </row>
    <row r="45" ht="18" customHeight="1">
      <c r="A45" s="3" t="n"/>
      <c r="B45" s="3" t="n"/>
      <c r="C45" s="3" t="n"/>
      <c r="D45" s="3" t="n"/>
      <c r="E45" s="3" t="n"/>
      <c r="F45" s="3" t="n"/>
      <c r="G45" s="3" t="n"/>
      <c r="H45" s="3">
        <f>ROUND((D45/8)*1.25*G45,2)</f>
        <v/>
      </c>
      <c r="I45" s="3">
        <f>D45*E45+H45</f>
        <v/>
      </c>
      <c r="J45" s="3" t="n"/>
      <c r="K45" s="3" t="n"/>
      <c r="L45" s="3" t="n"/>
      <c r="M45" s="3" t="n"/>
      <c r="N45" s="3">
        <f>I45-J45-K45-L45-M45</f>
        <v/>
      </c>
    </row>
    <row r="46" ht="18" customHeight="1">
      <c r="A46" s="4" t="n"/>
      <c r="B46" s="4" t="n"/>
      <c r="C46" s="4" t="n"/>
      <c r="D46" s="4" t="n"/>
      <c r="E46" s="4" t="n"/>
      <c r="F46" s="4" t="n"/>
      <c r="G46" s="4" t="n"/>
      <c r="H46" s="4">
        <f>ROUND((D46/8)*1.25*G46,2)</f>
        <v/>
      </c>
      <c r="I46" s="4">
        <f>D46*E46+H46</f>
        <v/>
      </c>
      <c r="J46" s="4" t="n"/>
      <c r="K46" s="4" t="n"/>
      <c r="L46" s="4" t="n"/>
      <c r="M46" s="4" t="n"/>
      <c r="N46" s="4">
        <f>I46-J46-K46-L46-M46</f>
        <v/>
      </c>
    </row>
    <row r="47" ht="18" customHeight="1">
      <c r="A47" s="3" t="n"/>
      <c r="B47" s="3" t="n"/>
      <c r="C47" s="3" t="n"/>
      <c r="D47" s="3" t="n"/>
      <c r="E47" s="3" t="n"/>
      <c r="F47" s="3" t="n"/>
      <c r="G47" s="3" t="n"/>
      <c r="H47" s="3">
        <f>ROUND((D47/8)*1.25*G47,2)</f>
        <v/>
      </c>
      <c r="I47" s="3">
        <f>D47*E47+H47</f>
        <v/>
      </c>
      <c r="J47" s="3" t="n"/>
      <c r="K47" s="3" t="n"/>
      <c r="L47" s="3" t="n"/>
      <c r="M47" s="3" t="n"/>
      <c r="N47" s="3">
        <f>I47-J47-K47-L47-M47</f>
        <v/>
      </c>
    </row>
    <row r="48" ht="18" customHeight="1">
      <c r="A48" s="4" t="n"/>
      <c r="B48" s="4" t="n"/>
      <c r="C48" s="4" t="n"/>
      <c r="D48" s="4" t="n"/>
      <c r="E48" s="4" t="n"/>
      <c r="F48" s="4" t="n"/>
      <c r="G48" s="4" t="n"/>
      <c r="H48" s="4">
        <f>ROUND((D48/8)*1.25*G48,2)</f>
        <v/>
      </c>
      <c r="I48" s="4">
        <f>D48*E48+H48</f>
        <v/>
      </c>
      <c r="J48" s="4" t="n"/>
      <c r="K48" s="4" t="n"/>
      <c r="L48" s="4" t="n"/>
      <c r="M48" s="4" t="n"/>
      <c r="N48" s="4">
        <f>I48-J48-K48-L48-M48</f>
        <v/>
      </c>
    </row>
    <row r="49" ht="18" customHeight="1">
      <c r="A49" s="3" t="n"/>
      <c r="B49" s="3" t="n"/>
      <c r="C49" s="3" t="n"/>
      <c r="D49" s="3" t="n"/>
      <c r="E49" s="3" t="n"/>
      <c r="F49" s="3" t="n"/>
      <c r="G49" s="3" t="n"/>
      <c r="H49" s="3">
        <f>ROUND((D49/8)*1.25*G49,2)</f>
        <v/>
      </c>
      <c r="I49" s="3">
        <f>D49*E49+H49</f>
        <v/>
      </c>
      <c r="J49" s="3" t="n"/>
      <c r="K49" s="3" t="n"/>
      <c r="L49" s="3" t="n"/>
      <c r="M49" s="3" t="n"/>
      <c r="N49" s="3">
        <f>I49-J49-K49-L49-M49</f>
        <v/>
      </c>
    </row>
    <row r="50" ht="18" customHeight="1">
      <c r="A50" s="4" t="n"/>
      <c r="B50" s="4" t="n"/>
      <c r="C50" s="4" t="n"/>
      <c r="D50" s="4" t="n"/>
      <c r="E50" s="4" t="n"/>
      <c r="F50" s="4" t="n"/>
      <c r="G50" s="4" t="n"/>
      <c r="H50" s="4">
        <f>ROUND((D50/8)*1.25*G50,2)</f>
        <v/>
      </c>
      <c r="I50" s="4">
        <f>D50*E50+H50</f>
        <v/>
      </c>
      <c r="J50" s="4" t="n"/>
      <c r="K50" s="4" t="n"/>
      <c r="L50" s="4" t="n"/>
      <c r="M50" s="4" t="n"/>
      <c r="N50" s="4">
        <f>I50-J50-K50-L50-M50</f>
        <v/>
      </c>
    </row>
    <row r="51" ht="18" customHeight="1">
      <c r="A51" s="3" t="n"/>
      <c r="B51" s="3" t="n"/>
      <c r="C51" s="3" t="n"/>
      <c r="D51" s="3" t="n"/>
      <c r="E51" s="3" t="n"/>
      <c r="F51" s="3" t="n"/>
      <c r="G51" s="3" t="n"/>
      <c r="H51" s="3">
        <f>ROUND((D51/8)*1.25*G51,2)</f>
        <v/>
      </c>
      <c r="I51" s="3">
        <f>D51*E51+H51</f>
        <v/>
      </c>
      <c r="J51" s="3" t="n"/>
      <c r="K51" s="3" t="n"/>
      <c r="L51" s="3" t="n"/>
      <c r="M51" s="3" t="n"/>
      <c r="N51" s="3">
        <f>I51-J51-K51-L51-M51</f>
        <v/>
      </c>
    </row>
    <row r="52" ht="18" customHeight="1">
      <c r="A52" s="4" t="n"/>
      <c r="B52" s="4" t="n"/>
      <c r="C52" s="4" t="n"/>
      <c r="D52" s="4" t="n"/>
      <c r="E52" s="4" t="n"/>
      <c r="F52" s="4" t="n"/>
      <c r="G52" s="4" t="n"/>
      <c r="H52" s="4">
        <f>ROUND((D52/8)*1.25*G52,2)</f>
        <v/>
      </c>
      <c r="I52" s="4">
        <f>D52*E52+H52</f>
        <v/>
      </c>
      <c r="J52" s="4" t="n"/>
      <c r="K52" s="4" t="n"/>
      <c r="L52" s="4" t="n"/>
      <c r="M52" s="4" t="n"/>
      <c r="N52" s="4">
        <f>I52-J52-K52-L52-M52</f>
        <v/>
      </c>
    </row>
    <row r="53" ht="18" customHeight="1">
      <c r="A53" s="3" t="n"/>
      <c r="B53" s="3" t="n"/>
      <c r="C53" s="3" t="n"/>
      <c r="D53" s="3" t="n"/>
      <c r="E53" s="3" t="n"/>
      <c r="F53" s="3" t="n"/>
      <c r="G53" s="3" t="n"/>
      <c r="H53" s="3">
        <f>ROUND((D53/8)*1.25*G53,2)</f>
        <v/>
      </c>
      <c r="I53" s="3">
        <f>D53*E53+H53</f>
        <v/>
      </c>
      <c r="J53" s="3" t="n"/>
      <c r="K53" s="3" t="n"/>
      <c r="L53" s="3" t="n"/>
      <c r="M53" s="3" t="n"/>
      <c r="N53" s="3">
        <f>I53-J53-K53-L53-M53</f>
        <v/>
      </c>
    </row>
    <row r="54" ht="18" customHeight="1">
      <c r="A54" s="4" t="n"/>
      <c r="B54" s="4" t="n"/>
      <c r="C54" s="4" t="n"/>
      <c r="D54" s="4" t="n"/>
      <c r="E54" s="4" t="n"/>
      <c r="F54" s="4" t="n"/>
      <c r="G54" s="4" t="n"/>
      <c r="H54" s="4">
        <f>ROUND((D54/8)*1.25*G54,2)</f>
        <v/>
      </c>
      <c r="I54" s="4">
        <f>D54*E54+H54</f>
        <v/>
      </c>
      <c r="J54" s="4" t="n"/>
      <c r="K54" s="4" t="n"/>
      <c r="L54" s="4" t="n"/>
      <c r="M54" s="4" t="n"/>
      <c r="N54" s="4">
        <f>I54-J54-K54-L54-M54</f>
        <v/>
      </c>
    </row>
    <row r="55" ht="18" customHeight="1">
      <c r="A55" s="3" t="n"/>
      <c r="B55" s="3" t="n"/>
      <c r="C55" s="3" t="n"/>
      <c r="D55" s="3" t="n"/>
      <c r="E55" s="3" t="n"/>
      <c r="F55" s="3" t="n"/>
      <c r="G55" s="3" t="n"/>
      <c r="H55" s="3">
        <f>ROUND((D55/8)*1.25*G55,2)</f>
        <v/>
      </c>
      <c r="I55" s="3">
        <f>D55*E55+H55</f>
        <v/>
      </c>
      <c r="J55" s="3" t="n"/>
      <c r="K55" s="3" t="n"/>
      <c r="L55" s="3" t="n"/>
      <c r="M55" s="3" t="n"/>
      <c r="N55" s="3">
        <f>I55-J55-K55-L55-M55</f>
        <v/>
      </c>
    </row>
    <row r="56" ht="18" customHeight="1">
      <c r="A56" s="4" t="n"/>
      <c r="B56" s="4" t="n"/>
      <c r="C56" s="4" t="n"/>
      <c r="D56" s="4" t="n"/>
      <c r="E56" s="4" t="n"/>
      <c r="F56" s="4" t="n"/>
      <c r="G56" s="4" t="n"/>
      <c r="H56" s="4">
        <f>ROUND((D56/8)*1.25*G56,2)</f>
        <v/>
      </c>
      <c r="I56" s="4">
        <f>D56*E56+H56</f>
        <v/>
      </c>
      <c r="J56" s="4" t="n"/>
      <c r="K56" s="4" t="n"/>
      <c r="L56" s="4" t="n"/>
      <c r="M56" s="4" t="n"/>
      <c r="N56" s="4">
        <f>I56-J56-K56-L56-M56</f>
        <v/>
      </c>
    </row>
    <row r="57" ht="18" customHeight="1">
      <c r="A57" s="3" t="n"/>
      <c r="B57" s="3" t="n"/>
      <c r="C57" s="3" t="n"/>
      <c r="D57" s="3" t="n"/>
      <c r="E57" s="3" t="n"/>
      <c r="F57" s="3" t="n"/>
      <c r="G57" s="3" t="n"/>
      <c r="H57" s="3">
        <f>ROUND((D57/8)*1.25*G57,2)</f>
        <v/>
      </c>
      <c r="I57" s="3">
        <f>D57*E57+H57</f>
        <v/>
      </c>
      <c r="J57" s="3" t="n"/>
      <c r="K57" s="3" t="n"/>
      <c r="L57" s="3" t="n"/>
      <c r="M57" s="3" t="n"/>
      <c r="N57" s="3">
        <f>I57-J57-K57-L57-M57</f>
        <v/>
      </c>
    </row>
    <row r="58" ht="18" customHeight="1">
      <c r="A58" s="4" t="n"/>
      <c r="B58" s="4" t="n"/>
      <c r="C58" s="4" t="n"/>
      <c r="D58" s="4" t="n"/>
      <c r="E58" s="4" t="n"/>
      <c r="F58" s="4" t="n"/>
      <c r="G58" s="4" t="n"/>
      <c r="H58" s="4">
        <f>ROUND((D58/8)*1.25*G58,2)</f>
        <v/>
      </c>
      <c r="I58" s="4">
        <f>D58*E58+H58</f>
        <v/>
      </c>
      <c r="J58" s="4" t="n"/>
      <c r="K58" s="4" t="n"/>
      <c r="L58" s="4" t="n"/>
      <c r="M58" s="4" t="n"/>
      <c r="N58" s="4">
        <f>I58-J58-K58-L58-M58</f>
        <v/>
      </c>
    </row>
    <row r="59" ht="18" customHeight="1">
      <c r="A59" s="3" t="n"/>
      <c r="B59" s="3" t="n"/>
      <c r="C59" s="3" t="n"/>
      <c r="D59" s="3" t="n"/>
      <c r="E59" s="3" t="n"/>
      <c r="F59" s="3" t="n"/>
      <c r="G59" s="3" t="n"/>
      <c r="H59" s="3">
        <f>ROUND((D59/8)*1.25*G59,2)</f>
        <v/>
      </c>
      <c r="I59" s="3">
        <f>D59*E59+H59</f>
        <v/>
      </c>
      <c r="J59" s="3" t="n"/>
      <c r="K59" s="3" t="n"/>
      <c r="L59" s="3" t="n"/>
      <c r="M59" s="3" t="n"/>
      <c r="N59" s="3">
        <f>I59-J59-K59-L59-M59</f>
        <v/>
      </c>
    </row>
    <row r="60" ht="18" customHeight="1">
      <c r="A60" s="4" t="n"/>
      <c r="B60" s="4" t="n"/>
      <c r="C60" s="4" t="n"/>
      <c r="D60" s="4" t="n"/>
      <c r="E60" s="4" t="n"/>
      <c r="F60" s="4" t="n"/>
      <c r="G60" s="4" t="n"/>
      <c r="H60" s="4">
        <f>ROUND((D60/8)*1.25*G60,2)</f>
        <v/>
      </c>
      <c r="I60" s="4">
        <f>D60*E60+H60</f>
        <v/>
      </c>
      <c r="J60" s="4" t="n"/>
      <c r="K60" s="4" t="n"/>
      <c r="L60" s="4" t="n"/>
      <c r="M60" s="4" t="n"/>
      <c r="N60" s="4">
        <f>I60-J60-K60-L60-M60</f>
        <v/>
      </c>
    </row>
    <row r="61" ht="18" customHeight="1">
      <c r="A61" s="3" t="n"/>
      <c r="B61" s="3" t="n"/>
      <c r="C61" s="3" t="n"/>
      <c r="D61" s="3" t="n"/>
      <c r="E61" s="3" t="n"/>
      <c r="F61" s="3" t="n"/>
      <c r="G61" s="3" t="n"/>
      <c r="H61" s="3">
        <f>ROUND((D61/8)*1.25*G61,2)</f>
        <v/>
      </c>
      <c r="I61" s="3">
        <f>D61*E61+H61</f>
        <v/>
      </c>
      <c r="J61" s="3" t="n"/>
      <c r="K61" s="3" t="n"/>
      <c r="L61" s="3" t="n"/>
      <c r="M61" s="3" t="n"/>
      <c r="N61" s="3">
        <f>I61-J61-K61-L61-M61</f>
        <v/>
      </c>
    </row>
    <row r="62" ht="18" customHeight="1">
      <c r="A62" s="4" t="n"/>
      <c r="B62" s="4" t="n"/>
      <c r="C62" s="4" t="n"/>
      <c r="D62" s="4" t="n"/>
      <c r="E62" s="4" t="n"/>
      <c r="F62" s="4" t="n"/>
      <c r="G62" s="4" t="n"/>
      <c r="H62" s="4">
        <f>ROUND((D62/8)*1.25*G62,2)</f>
        <v/>
      </c>
      <c r="I62" s="4">
        <f>D62*E62+H62</f>
        <v/>
      </c>
      <c r="J62" s="4" t="n"/>
      <c r="K62" s="4" t="n"/>
      <c r="L62" s="4" t="n"/>
      <c r="M62" s="4" t="n"/>
      <c r="N62" s="4">
        <f>I62-J62-K62-L62-M62</f>
        <v/>
      </c>
    </row>
    <row r="63" ht="18" customHeight="1">
      <c r="A63" s="3" t="n"/>
      <c r="B63" s="3" t="n"/>
      <c r="C63" s="3" t="n"/>
      <c r="D63" s="3" t="n"/>
      <c r="E63" s="3" t="n"/>
      <c r="F63" s="3" t="n"/>
      <c r="G63" s="3" t="n"/>
      <c r="H63" s="3">
        <f>ROUND((D63/8)*1.25*G63,2)</f>
        <v/>
      </c>
      <c r="I63" s="3">
        <f>D63*E63+H63</f>
        <v/>
      </c>
      <c r="J63" s="3" t="n"/>
      <c r="K63" s="3" t="n"/>
      <c r="L63" s="3" t="n"/>
      <c r="M63" s="3" t="n"/>
      <c r="N63" s="3">
        <f>I63-J63-K63-L63-M63</f>
        <v/>
      </c>
    </row>
    <row r="64" ht="18" customHeight="1">
      <c r="A64" s="4" t="n"/>
      <c r="B64" s="4" t="n"/>
      <c r="C64" s="4" t="n"/>
      <c r="D64" s="4" t="n"/>
      <c r="E64" s="4" t="n"/>
      <c r="F64" s="4" t="n"/>
      <c r="G64" s="4" t="n"/>
      <c r="H64" s="4">
        <f>ROUND((D64/8)*1.25*G64,2)</f>
        <v/>
      </c>
      <c r="I64" s="4">
        <f>D64*E64+H64</f>
        <v/>
      </c>
      <c r="J64" s="4" t="n"/>
      <c r="K64" s="4" t="n"/>
      <c r="L64" s="4" t="n"/>
      <c r="M64" s="4" t="n"/>
      <c r="N64" s="4">
        <f>I64-J64-K64-L64-M64</f>
        <v/>
      </c>
    </row>
    <row r="65" ht="18" customHeight="1">
      <c r="A65" s="3" t="n"/>
      <c r="B65" s="3" t="n"/>
      <c r="C65" s="3" t="n"/>
      <c r="D65" s="3" t="n"/>
      <c r="E65" s="3" t="n"/>
      <c r="F65" s="3" t="n"/>
      <c r="G65" s="3" t="n"/>
      <c r="H65" s="3">
        <f>ROUND((D65/8)*1.25*G65,2)</f>
        <v/>
      </c>
      <c r="I65" s="3">
        <f>D65*E65+H65</f>
        <v/>
      </c>
      <c r="J65" s="3" t="n"/>
      <c r="K65" s="3" t="n"/>
      <c r="L65" s="3" t="n"/>
      <c r="M65" s="3" t="n"/>
      <c r="N65" s="3">
        <f>I65-J65-K65-L65-M65</f>
        <v/>
      </c>
    </row>
    <row r="66" ht="18" customHeight="1">
      <c r="A66" s="4" t="n"/>
      <c r="B66" s="4" t="n"/>
      <c r="C66" s="4" t="n"/>
      <c r="D66" s="4" t="n"/>
      <c r="E66" s="4" t="n"/>
      <c r="F66" s="4" t="n"/>
      <c r="G66" s="4" t="n"/>
      <c r="H66" s="4">
        <f>ROUND((D66/8)*1.25*G66,2)</f>
        <v/>
      </c>
      <c r="I66" s="4">
        <f>D66*E66+H66</f>
        <v/>
      </c>
      <c r="J66" s="4" t="n"/>
      <c r="K66" s="4" t="n"/>
      <c r="L66" s="4" t="n"/>
      <c r="M66" s="4" t="n"/>
      <c r="N66" s="4">
        <f>I66-J66-K66-L66-M66</f>
        <v/>
      </c>
    </row>
    <row r="67" ht="18" customHeight="1">
      <c r="A67" s="3" t="n"/>
      <c r="B67" s="3" t="n"/>
      <c r="C67" s="3" t="n"/>
      <c r="D67" s="3" t="n"/>
      <c r="E67" s="3" t="n"/>
      <c r="F67" s="3" t="n"/>
      <c r="G67" s="3" t="n"/>
      <c r="H67" s="3">
        <f>ROUND((D67/8)*1.25*G67,2)</f>
        <v/>
      </c>
      <c r="I67" s="3">
        <f>D67*E67+H67</f>
        <v/>
      </c>
      <c r="J67" s="3" t="n"/>
      <c r="K67" s="3" t="n"/>
      <c r="L67" s="3" t="n"/>
      <c r="M67" s="3" t="n"/>
      <c r="N67" s="3">
        <f>I67-J67-K67-L67-M67</f>
        <v/>
      </c>
    </row>
    <row r="68" ht="18" customHeight="1">
      <c r="A68" s="4" t="n"/>
      <c r="B68" s="4" t="n"/>
      <c r="C68" s="4" t="n"/>
      <c r="D68" s="4" t="n"/>
      <c r="E68" s="4" t="n"/>
      <c r="F68" s="4" t="n"/>
      <c r="G68" s="4" t="n"/>
      <c r="H68" s="4">
        <f>ROUND((D68/8)*1.25*G68,2)</f>
        <v/>
      </c>
      <c r="I68" s="4">
        <f>D68*E68+H68</f>
        <v/>
      </c>
      <c r="J68" s="4" t="n"/>
      <c r="K68" s="4" t="n"/>
      <c r="L68" s="4" t="n"/>
      <c r="M68" s="4" t="n"/>
      <c r="N68" s="4">
        <f>I68-J68-K68-L68-M68</f>
        <v/>
      </c>
    </row>
    <row r="69" ht="18" customHeight="1">
      <c r="A69" s="3" t="n"/>
      <c r="B69" s="3" t="n"/>
      <c r="C69" s="3" t="n"/>
      <c r="D69" s="3" t="n"/>
      <c r="E69" s="3" t="n"/>
      <c r="F69" s="3" t="n"/>
      <c r="G69" s="3" t="n"/>
      <c r="H69" s="3">
        <f>ROUND((D69/8)*1.25*G69,2)</f>
        <v/>
      </c>
      <c r="I69" s="3">
        <f>D69*E69+H69</f>
        <v/>
      </c>
      <c r="J69" s="3" t="n"/>
      <c r="K69" s="3" t="n"/>
      <c r="L69" s="3" t="n"/>
      <c r="M69" s="3" t="n"/>
      <c r="N69" s="3">
        <f>I69-J69-K69-L69-M69</f>
        <v/>
      </c>
    </row>
    <row r="70" ht="18" customHeight="1">
      <c r="A70" s="4" t="n"/>
      <c r="B70" s="4" t="n"/>
      <c r="C70" s="4" t="n"/>
      <c r="D70" s="4" t="n"/>
      <c r="E70" s="4" t="n"/>
      <c r="F70" s="4" t="n"/>
      <c r="G70" s="4" t="n"/>
      <c r="H70" s="4">
        <f>ROUND((D70/8)*1.25*G70,2)</f>
        <v/>
      </c>
      <c r="I70" s="4">
        <f>D70*E70+H70</f>
        <v/>
      </c>
      <c r="J70" s="4" t="n"/>
      <c r="K70" s="4" t="n"/>
      <c r="L70" s="4" t="n"/>
      <c r="M70" s="4" t="n"/>
      <c r="N70" s="4">
        <f>I70-J70-K70-L70-M70</f>
        <v/>
      </c>
    </row>
    <row r="71" ht="18" customHeight="1">
      <c r="A71" s="3" t="n"/>
      <c r="B71" s="3" t="n"/>
      <c r="C71" s="3" t="n"/>
      <c r="D71" s="3" t="n"/>
      <c r="E71" s="3" t="n"/>
      <c r="F71" s="3" t="n"/>
      <c r="G71" s="3" t="n"/>
      <c r="H71" s="3">
        <f>ROUND((D71/8)*1.25*G71,2)</f>
        <v/>
      </c>
      <c r="I71" s="3">
        <f>D71*E71+H71</f>
        <v/>
      </c>
      <c r="J71" s="3" t="n"/>
      <c r="K71" s="3" t="n"/>
      <c r="L71" s="3" t="n"/>
      <c r="M71" s="3" t="n"/>
      <c r="N71" s="3">
        <f>I71-J71-K71-L71-M71</f>
        <v/>
      </c>
    </row>
    <row r="72" ht="18" customHeight="1">
      <c r="A72" s="4" t="n"/>
      <c r="B72" s="4" t="n"/>
      <c r="C72" s="4" t="n"/>
      <c r="D72" s="4" t="n"/>
      <c r="E72" s="4" t="n"/>
      <c r="F72" s="4" t="n"/>
      <c r="G72" s="4" t="n"/>
      <c r="H72" s="4">
        <f>ROUND((D72/8)*1.25*G72,2)</f>
        <v/>
      </c>
      <c r="I72" s="4">
        <f>D72*E72+H72</f>
        <v/>
      </c>
      <c r="J72" s="4" t="n"/>
      <c r="K72" s="4" t="n"/>
      <c r="L72" s="4" t="n"/>
      <c r="M72" s="4" t="n"/>
      <c r="N72" s="4">
        <f>I72-J72-K72-L72-M72</f>
        <v/>
      </c>
    </row>
    <row r="73" ht="18" customHeight="1">
      <c r="A73" s="3" t="n"/>
      <c r="B73" s="3" t="n"/>
      <c r="C73" s="3" t="n"/>
      <c r="D73" s="3" t="n"/>
      <c r="E73" s="3" t="n"/>
      <c r="F73" s="3" t="n"/>
      <c r="G73" s="3" t="n"/>
      <c r="H73" s="3">
        <f>ROUND((D73/8)*1.25*G73,2)</f>
        <v/>
      </c>
      <c r="I73" s="3">
        <f>D73*E73+H73</f>
        <v/>
      </c>
      <c r="J73" s="3" t="n"/>
      <c r="K73" s="3" t="n"/>
      <c r="L73" s="3" t="n"/>
      <c r="M73" s="3" t="n"/>
      <c r="N73" s="3">
        <f>I73-J73-K73-L73-M73</f>
        <v/>
      </c>
    </row>
    <row r="74" ht="18" customHeight="1">
      <c r="A74" s="4" t="n"/>
      <c r="B74" s="4" t="n"/>
      <c r="C74" s="4" t="n"/>
      <c r="D74" s="4" t="n"/>
      <c r="E74" s="4" t="n"/>
      <c r="F74" s="4" t="n"/>
      <c r="G74" s="4" t="n"/>
      <c r="H74" s="4">
        <f>ROUND((D74/8)*1.25*G74,2)</f>
        <v/>
      </c>
      <c r="I74" s="4">
        <f>D74*E74+H74</f>
        <v/>
      </c>
      <c r="J74" s="4" t="n"/>
      <c r="K74" s="4" t="n"/>
      <c r="L74" s="4" t="n"/>
      <c r="M74" s="4" t="n"/>
      <c r="N74" s="4">
        <f>I74-J74-K74-L74-M74</f>
        <v/>
      </c>
    </row>
    <row r="75" ht="18" customHeight="1">
      <c r="A75" s="3" t="n"/>
      <c r="B75" s="3" t="n"/>
      <c r="C75" s="3" t="n"/>
      <c r="D75" s="3" t="n"/>
      <c r="E75" s="3" t="n"/>
      <c r="F75" s="3" t="n"/>
      <c r="G75" s="3" t="n"/>
      <c r="H75" s="3">
        <f>ROUND((D75/8)*1.25*G75,2)</f>
        <v/>
      </c>
      <c r="I75" s="3">
        <f>D75*E75+H75</f>
        <v/>
      </c>
      <c r="J75" s="3" t="n"/>
      <c r="K75" s="3" t="n"/>
      <c r="L75" s="3" t="n"/>
      <c r="M75" s="3" t="n"/>
      <c r="N75" s="3">
        <f>I75-J75-K75-L75-M75</f>
        <v/>
      </c>
    </row>
    <row r="76" ht="18" customHeight="1">
      <c r="A76" s="4" t="n"/>
      <c r="B76" s="4" t="n"/>
      <c r="C76" s="4" t="n"/>
      <c r="D76" s="4" t="n"/>
      <c r="E76" s="4" t="n"/>
      <c r="F76" s="4" t="n"/>
      <c r="G76" s="4" t="n"/>
      <c r="H76" s="4">
        <f>ROUND((D76/8)*1.25*G76,2)</f>
        <v/>
      </c>
      <c r="I76" s="4">
        <f>D76*E76+H76</f>
        <v/>
      </c>
      <c r="J76" s="4" t="n"/>
      <c r="K76" s="4" t="n"/>
      <c r="L76" s="4" t="n"/>
      <c r="M76" s="4" t="n"/>
      <c r="N76" s="4">
        <f>I76-J76-K76-L76-M76</f>
        <v/>
      </c>
    </row>
    <row r="77" ht="18" customHeight="1">
      <c r="A77" s="3" t="n"/>
      <c r="B77" s="3" t="n"/>
      <c r="C77" s="3" t="n"/>
      <c r="D77" s="3" t="n"/>
      <c r="E77" s="3" t="n"/>
      <c r="F77" s="3" t="n"/>
      <c r="G77" s="3" t="n"/>
      <c r="H77" s="3">
        <f>ROUND((D77/8)*1.25*G77,2)</f>
        <v/>
      </c>
      <c r="I77" s="3">
        <f>D77*E77+H77</f>
        <v/>
      </c>
      <c r="J77" s="3" t="n"/>
      <c r="K77" s="3" t="n"/>
      <c r="L77" s="3" t="n"/>
      <c r="M77" s="3" t="n"/>
      <c r="N77" s="3">
        <f>I77-J77-K77-L77-M77</f>
        <v/>
      </c>
    </row>
    <row r="78" ht="18" customHeight="1">
      <c r="A78" s="4" t="n"/>
      <c r="B78" s="4" t="n"/>
      <c r="C78" s="4" t="n"/>
      <c r="D78" s="4" t="n"/>
      <c r="E78" s="4" t="n"/>
      <c r="F78" s="4" t="n"/>
      <c r="G78" s="4" t="n"/>
      <c r="H78" s="4">
        <f>ROUND((D78/8)*1.25*G78,2)</f>
        <v/>
      </c>
      <c r="I78" s="4">
        <f>D78*E78+H78</f>
        <v/>
      </c>
      <c r="J78" s="4" t="n"/>
      <c r="K78" s="4" t="n"/>
      <c r="L78" s="4" t="n"/>
      <c r="M78" s="4" t="n"/>
      <c r="N78" s="4">
        <f>I78-J78-K78-L78-M78</f>
        <v/>
      </c>
    </row>
    <row r="79" ht="18" customHeight="1">
      <c r="A79" s="3" t="n"/>
      <c r="B79" s="3" t="n"/>
      <c r="C79" s="3" t="n"/>
      <c r="D79" s="3" t="n"/>
      <c r="E79" s="3" t="n"/>
      <c r="F79" s="3" t="n"/>
      <c r="G79" s="3" t="n"/>
      <c r="H79" s="3">
        <f>ROUND((D79/8)*1.25*G79,2)</f>
        <v/>
      </c>
      <c r="I79" s="3">
        <f>D79*E79+H79</f>
        <v/>
      </c>
      <c r="J79" s="3" t="n"/>
      <c r="K79" s="3" t="n"/>
      <c r="L79" s="3" t="n"/>
      <c r="M79" s="3" t="n"/>
      <c r="N79" s="3">
        <f>I79-J79-K79-L79-M79</f>
        <v/>
      </c>
    </row>
    <row r="80" ht="18" customHeight="1">
      <c r="A80" s="4" t="n"/>
      <c r="B80" s="4" t="n"/>
      <c r="C80" s="4" t="n"/>
      <c r="D80" s="4" t="n"/>
      <c r="E80" s="4" t="n"/>
      <c r="F80" s="4" t="n"/>
      <c r="G80" s="4" t="n"/>
      <c r="H80" s="4">
        <f>ROUND((D80/8)*1.25*G80,2)</f>
        <v/>
      </c>
      <c r="I80" s="4">
        <f>D80*E80+H80</f>
        <v/>
      </c>
      <c r="J80" s="4" t="n"/>
      <c r="K80" s="4" t="n"/>
      <c r="L80" s="4" t="n"/>
      <c r="M80" s="4" t="n"/>
      <c r="N80" s="4">
        <f>I80-J80-K80-L80-M80</f>
        <v/>
      </c>
    </row>
    <row r="81" ht="18" customHeight="1">
      <c r="A81" s="3" t="n"/>
      <c r="B81" s="3" t="n"/>
      <c r="C81" s="3" t="n"/>
      <c r="D81" s="3" t="n"/>
      <c r="E81" s="3" t="n"/>
      <c r="F81" s="3" t="n"/>
      <c r="G81" s="3" t="n"/>
      <c r="H81" s="3">
        <f>ROUND((D81/8)*1.25*G81,2)</f>
        <v/>
      </c>
      <c r="I81" s="3">
        <f>D81*E81+H81</f>
        <v/>
      </c>
      <c r="J81" s="3" t="n"/>
      <c r="K81" s="3" t="n"/>
      <c r="L81" s="3" t="n"/>
      <c r="M81" s="3" t="n"/>
      <c r="N81" s="3">
        <f>I81-J81-K81-L81-M81</f>
        <v/>
      </c>
    </row>
    <row r="82" ht="18" customHeight="1">
      <c r="A82" s="4" t="n"/>
      <c r="B82" s="4" t="n"/>
      <c r="C82" s="4" t="n"/>
      <c r="D82" s="4" t="n"/>
      <c r="E82" s="4" t="n"/>
      <c r="F82" s="4" t="n"/>
      <c r="G82" s="4" t="n"/>
      <c r="H82" s="4">
        <f>ROUND((D82/8)*1.25*G82,2)</f>
        <v/>
      </c>
      <c r="I82" s="4">
        <f>D82*E82+H82</f>
        <v/>
      </c>
      <c r="J82" s="4" t="n"/>
      <c r="K82" s="4" t="n"/>
      <c r="L82" s="4" t="n"/>
      <c r="M82" s="4" t="n"/>
      <c r="N82" s="4">
        <f>I82-J82-K82-L82-M82</f>
        <v/>
      </c>
    </row>
    <row r="83" ht="18" customHeight="1">
      <c r="A83" s="3" t="n"/>
      <c r="B83" s="3" t="n"/>
      <c r="C83" s="3" t="n"/>
      <c r="D83" s="3" t="n"/>
      <c r="E83" s="3" t="n"/>
      <c r="F83" s="3" t="n"/>
      <c r="G83" s="3" t="n"/>
      <c r="H83" s="3">
        <f>ROUND((D83/8)*1.25*G83,2)</f>
        <v/>
      </c>
      <c r="I83" s="3">
        <f>D83*E83+H83</f>
        <v/>
      </c>
      <c r="J83" s="3" t="n"/>
      <c r="K83" s="3" t="n"/>
      <c r="L83" s="3" t="n"/>
      <c r="M83" s="3" t="n"/>
      <c r="N83" s="3">
        <f>I83-J83-K83-L83-M83</f>
        <v/>
      </c>
    </row>
    <row r="84" ht="18" customHeight="1">
      <c r="A84" s="4" t="n"/>
      <c r="B84" s="4" t="n"/>
      <c r="C84" s="4" t="n"/>
      <c r="D84" s="4" t="n"/>
      <c r="E84" s="4" t="n"/>
      <c r="F84" s="4" t="n"/>
      <c r="G84" s="4" t="n"/>
      <c r="H84" s="4">
        <f>ROUND((D84/8)*1.25*G84,2)</f>
        <v/>
      </c>
      <c r="I84" s="4">
        <f>D84*E84+H84</f>
        <v/>
      </c>
      <c r="J84" s="4" t="n"/>
      <c r="K84" s="4" t="n"/>
      <c r="L84" s="4" t="n"/>
      <c r="M84" s="4" t="n"/>
      <c r="N84" s="4">
        <f>I84-J84-K84-L84-M84</f>
        <v/>
      </c>
    </row>
    <row r="85" ht="18" customHeight="1">
      <c r="A85" s="3" t="n"/>
      <c r="B85" s="3" t="n"/>
      <c r="C85" s="3" t="n"/>
      <c r="D85" s="3" t="n"/>
      <c r="E85" s="3" t="n"/>
      <c r="F85" s="3" t="n"/>
      <c r="G85" s="3" t="n"/>
      <c r="H85" s="3">
        <f>ROUND((D85/8)*1.25*G85,2)</f>
        <v/>
      </c>
      <c r="I85" s="3">
        <f>D85*E85+H85</f>
        <v/>
      </c>
      <c r="J85" s="3" t="n"/>
      <c r="K85" s="3" t="n"/>
      <c r="L85" s="3" t="n"/>
      <c r="M85" s="3" t="n"/>
      <c r="N85" s="3">
        <f>I85-J85-K85-L85-M85</f>
        <v/>
      </c>
    </row>
    <row r="86" ht="18" customHeight="1">
      <c r="A86" s="4" t="n"/>
      <c r="B86" s="4" t="n"/>
      <c r="C86" s="4" t="n"/>
      <c r="D86" s="4" t="n"/>
      <c r="E86" s="4" t="n"/>
      <c r="F86" s="4" t="n"/>
      <c r="G86" s="4" t="n"/>
      <c r="H86" s="4">
        <f>ROUND((D86/8)*1.25*G86,2)</f>
        <v/>
      </c>
      <c r="I86" s="4">
        <f>D86*E86+H86</f>
        <v/>
      </c>
      <c r="J86" s="4" t="n"/>
      <c r="K86" s="4" t="n"/>
      <c r="L86" s="4" t="n"/>
      <c r="M86" s="4" t="n"/>
      <c r="N86" s="4">
        <f>I86-J86-K86-L86-M86</f>
        <v/>
      </c>
    </row>
    <row r="87" ht="18" customHeight="1">
      <c r="A87" s="3" t="n"/>
      <c r="B87" s="3" t="n"/>
      <c r="C87" s="3" t="n"/>
      <c r="D87" s="3" t="n"/>
      <c r="E87" s="3" t="n"/>
      <c r="F87" s="3" t="n"/>
      <c r="G87" s="3" t="n"/>
      <c r="H87" s="3">
        <f>ROUND((D87/8)*1.25*G87,2)</f>
        <v/>
      </c>
      <c r="I87" s="3">
        <f>D87*E87+H87</f>
        <v/>
      </c>
      <c r="J87" s="3" t="n"/>
      <c r="K87" s="3" t="n"/>
      <c r="L87" s="3" t="n"/>
      <c r="M87" s="3" t="n"/>
      <c r="N87" s="3">
        <f>I87-J87-K87-L87-M87</f>
        <v/>
      </c>
    </row>
    <row r="88" ht="18" customHeight="1">
      <c r="A88" s="4" t="n"/>
      <c r="B88" s="4" t="n"/>
      <c r="C88" s="4" t="n"/>
      <c r="D88" s="4" t="n"/>
      <c r="E88" s="4" t="n"/>
      <c r="F88" s="4" t="n"/>
      <c r="G88" s="4" t="n"/>
      <c r="H88" s="4">
        <f>ROUND((D88/8)*1.25*G88,2)</f>
        <v/>
      </c>
      <c r="I88" s="4">
        <f>D88*E88+H88</f>
        <v/>
      </c>
      <c r="J88" s="4" t="n"/>
      <c r="K88" s="4" t="n"/>
      <c r="L88" s="4" t="n"/>
      <c r="M88" s="4" t="n"/>
      <c r="N88" s="4">
        <f>I88-J88-K88-L88-M88</f>
        <v/>
      </c>
    </row>
    <row r="89" ht="18" customHeight="1">
      <c r="A89" s="3" t="n"/>
      <c r="B89" s="3" t="n"/>
      <c r="C89" s="3" t="n"/>
      <c r="D89" s="3" t="n"/>
      <c r="E89" s="3" t="n"/>
      <c r="F89" s="3" t="n"/>
      <c r="G89" s="3" t="n"/>
      <c r="H89" s="3">
        <f>ROUND((D89/8)*1.25*G89,2)</f>
        <v/>
      </c>
      <c r="I89" s="3">
        <f>D89*E89+H89</f>
        <v/>
      </c>
      <c r="J89" s="3" t="n"/>
      <c r="K89" s="3" t="n"/>
      <c r="L89" s="3" t="n"/>
      <c r="M89" s="3" t="n"/>
      <c r="N89" s="3">
        <f>I89-J89-K89-L89-M89</f>
        <v/>
      </c>
    </row>
    <row r="90" ht="18" customHeight="1">
      <c r="A90" s="4" t="n"/>
      <c r="B90" s="4" t="n"/>
      <c r="C90" s="4" t="n"/>
      <c r="D90" s="4" t="n"/>
      <c r="E90" s="4" t="n"/>
      <c r="F90" s="4" t="n"/>
      <c r="G90" s="4" t="n"/>
      <c r="H90" s="4">
        <f>ROUND((D90/8)*1.25*G90,2)</f>
        <v/>
      </c>
      <c r="I90" s="4">
        <f>D90*E90+H90</f>
        <v/>
      </c>
      <c r="J90" s="4" t="n"/>
      <c r="K90" s="4" t="n"/>
      <c r="L90" s="4" t="n"/>
      <c r="M90" s="4" t="n"/>
      <c r="N90" s="4">
        <f>I90-J90-K90-L90-M90</f>
        <v/>
      </c>
    </row>
    <row r="91" ht="18" customHeight="1">
      <c r="A91" s="3" t="n"/>
      <c r="B91" s="3" t="n"/>
      <c r="C91" s="3" t="n"/>
      <c r="D91" s="3" t="n"/>
      <c r="E91" s="3" t="n"/>
      <c r="F91" s="3" t="n"/>
      <c r="G91" s="3" t="n"/>
      <c r="H91" s="3">
        <f>ROUND((D91/8)*1.25*G91,2)</f>
        <v/>
      </c>
      <c r="I91" s="3">
        <f>D91*E91+H91</f>
        <v/>
      </c>
      <c r="J91" s="3" t="n"/>
      <c r="K91" s="3" t="n"/>
      <c r="L91" s="3" t="n"/>
      <c r="M91" s="3" t="n"/>
      <c r="N91" s="3">
        <f>I91-J91-K91-L91-M91</f>
        <v/>
      </c>
    </row>
    <row r="92" ht="18" customHeight="1">
      <c r="A92" s="4" t="n"/>
      <c r="B92" s="4" t="n"/>
      <c r="C92" s="4" t="n"/>
      <c r="D92" s="4" t="n"/>
      <c r="E92" s="4" t="n"/>
      <c r="F92" s="4" t="n"/>
      <c r="G92" s="4" t="n"/>
      <c r="H92" s="4">
        <f>ROUND((D92/8)*1.25*G92,2)</f>
        <v/>
      </c>
      <c r="I92" s="4">
        <f>D92*E92+H92</f>
        <v/>
      </c>
      <c r="J92" s="4" t="n"/>
      <c r="K92" s="4" t="n"/>
      <c r="L92" s="4" t="n"/>
      <c r="M92" s="4" t="n"/>
      <c r="N92" s="4">
        <f>I92-J92-K92-L92-M92</f>
        <v/>
      </c>
    </row>
    <row r="93" ht="18" customHeight="1">
      <c r="A93" s="3" t="n"/>
      <c r="B93" s="3" t="n"/>
      <c r="C93" s="3" t="n"/>
      <c r="D93" s="3" t="n"/>
      <c r="E93" s="3" t="n"/>
      <c r="F93" s="3" t="n"/>
      <c r="G93" s="3" t="n"/>
      <c r="H93" s="3">
        <f>ROUND((D93/8)*1.25*G93,2)</f>
        <v/>
      </c>
      <c r="I93" s="3">
        <f>D93*E93+H93</f>
        <v/>
      </c>
      <c r="J93" s="3" t="n"/>
      <c r="K93" s="3" t="n"/>
      <c r="L93" s="3" t="n"/>
      <c r="M93" s="3" t="n"/>
      <c r="N93" s="3">
        <f>I93-J93-K93-L93-M93</f>
        <v/>
      </c>
    </row>
    <row r="94" ht="18" customHeight="1">
      <c r="A94" s="4" t="n"/>
      <c r="B94" s="4" t="n"/>
      <c r="C94" s="4" t="n"/>
      <c r="D94" s="4" t="n"/>
      <c r="E94" s="4" t="n"/>
      <c r="F94" s="4" t="n"/>
      <c r="G94" s="4" t="n"/>
      <c r="H94" s="4">
        <f>ROUND((D94/8)*1.25*G94,2)</f>
        <v/>
      </c>
      <c r="I94" s="4">
        <f>D94*E94+H94</f>
        <v/>
      </c>
      <c r="J94" s="4" t="n"/>
      <c r="K94" s="4" t="n"/>
      <c r="L94" s="4" t="n"/>
      <c r="M94" s="4" t="n"/>
      <c r="N94" s="4">
        <f>I94-J94-K94-L94-M94</f>
        <v/>
      </c>
    </row>
    <row r="95" ht="18" customHeight="1">
      <c r="A95" s="3" t="n"/>
      <c r="B95" s="3" t="n"/>
      <c r="C95" s="3" t="n"/>
      <c r="D95" s="3" t="n"/>
      <c r="E95" s="3" t="n"/>
      <c r="F95" s="3" t="n"/>
      <c r="G95" s="3" t="n"/>
      <c r="H95" s="3">
        <f>ROUND((D95/8)*1.25*G95,2)</f>
        <v/>
      </c>
      <c r="I95" s="3">
        <f>D95*E95+H95</f>
        <v/>
      </c>
      <c r="J95" s="3" t="n"/>
      <c r="K95" s="3" t="n"/>
      <c r="L95" s="3" t="n"/>
      <c r="M95" s="3" t="n"/>
      <c r="N95" s="3">
        <f>I95-J95-K95-L95-M95</f>
        <v/>
      </c>
    </row>
    <row r="96" ht="18" customHeight="1">
      <c r="A96" s="4" t="n"/>
      <c r="B96" s="4" t="n"/>
      <c r="C96" s="4" t="n"/>
      <c r="D96" s="4" t="n"/>
      <c r="E96" s="4" t="n"/>
      <c r="F96" s="4" t="n"/>
      <c r="G96" s="4" t="n"/>
      <c r="H96" s="4">
        <f>ROUND((D96/8)*1.25*G96,2)</f>
        <v/>
      </c>
      <c r="I96" s="4">
        <f>D96*E96+H96</f>
        <v/>
      </c>
      <c r="J96" s="4" t="n"/>
      <c r="K96" s="4" t="n"/>
      <c r="L96" s="4" t="n"/>
      <c r="M96" s="4" t="n"/>
      <c r="N96" s="4">
        <f>I96-J96-K96-L96-M96</f>
        <v/>
      </c>
    </row>
    <row r="97" ht="18" customHeight="1">
      <c r="A97" s="3" t="n"/>
      <c r="B97" s="3" t="n"/>
      <c r="C97" s="3" t="n"/>
      <c r="D97" s="3" t="n"/>
      <c r="E97" s="3" t="n"/>
      <c r="F97" s="3" t="n"/>
      <c r="G97" s="3" t="n"/>
      <c r="H97" s="3">
        <f>ROUND((D97/8)*1.25*G97,2)</f>
        <v/>
      </c>
      <c r="I97" s="3">
        <f>D97*E97+H97</f>
        <v/>
      </c>
      <c r="J97" s="3" t="n"/>
      <c r="K97" s="3" t="n"/>
      <c r="L97" s="3" t="n"/>
      <c r="M97" s="3" t="n"/>
      <c r="N97" s="3">
        <f>I97-J97-K97-L97-M97</f>
        <v/>
      </c>
    </row>
    <row r="98" ht="18" customHeight="1">
      <c r="A98" s="4" t="n"/>
      <c r="B98" s="4" t="n"/>
      <c r="C98" s="4" t="n"/>
      <c r="D98" s="4" t="n"/>
      <c r="E98" s="4" t="n"/>
      <c r="F98" s="4" t="n"/>
      <c r="G98" s="4" t="n"/>
      <c r="H98" s="4">
        <f>ROUND((D98/8)*1.25*G98,2)</f>
        <v/>
      </c>
      <c r="I98" s="4">
        <f>D98*E98+H98</f>
        <v/>
      </c>
      <c r="J98" s="4" t="n"/>
      <c r="K98" s="4" t="n"/>
      <c r="L98" s="4" t="n"/>
      <c r="M98" s="4" t="n"/>
      <c r="N98" s="4">
        <f>I98-J98-K98-L98-M98</f>
        <v/>
      </c>
    </row>
    <row r="99" ht="18" customHeight="1">
      <c r="A99" s="3" t="n"/>
      <c r="B99" s="3" t="n"/>
      <c r="C99" s="3" t="n"/>
      <c r="D99" s="3" t="n"/>
      <c r="E99" s="3" t="n"/>
      <c r="F99" s="3" t="n"/>
      <c r="G99" s="3" t="n"/>
      <c r="H99" s="3">
        <f>ROUND((D99/8)*1.25*G99,2)</f>
        <v/>
      </c>
      <c r="I99" s="3">
        <f>D99*E99+H99</f>
        <v/>
      </c>
      <c r="J99" s="3" t="n"/>
      <c r="K99" s="3" t="n"/>
      <c r="L99" s="3" t="n"/>
      <c r="M99" s="3" t="n"/>
      <c r="N99" s="3">
        <f>I99-J99-K99-L99-M99</f>
        <v/>
      </c>
    </row>
    <row r="100" ht="18" customHeight="1">
      <c r="A100" s="4" t="n"/>
      <c r="B100" s="4" t="n"/>
      <c r="C100" s="4" t="n"/>
      <c r="D100" s="4" t="n"/>
      <c r="E100" s="4" t="n"/>
      <c r="F100" s="4" t="n"/>
      <c r="G100" s="4" t="n"/>
      <c r="H100" s="4">
        <f>ROUND((D100/8)*1.25*G100,2)</f>
        <v/>
      </c>
      <c r="I100" s="4">
        <f>D100*E100+H100</f>
        <v/>
      </c>
      <c r="J100" s="4" t="n"/>
      <c r="K100" s="4" t="n"/>
      <c r="L100" s="4" t="n"/>
      <c r="M100" s="4" t="n"/>
      <c r="N100" s="4">
        <f>I100-J100-K100-L100-M100</f>
        <v/>
      </c>
    </row>
    <row r="101" ht="18" customHeight="1">
      <c r="A101" s="3" t="n"/>
      <c r="B101" s="3" t="n"/>
      <c r="C101" s="3" t="n"/>
      <c r="D101" s="3" t="n"/>
      <c r="E101" s="3" t="n"/>
      <c r="F101" s="3" t="n"/>
      <c r="G101" s="3" t="n"/>
      <c r="H101" s="3">
        <f>ROUND((D101/8)*1.25*G101,2)</f>
        <v/>
      </c>
      <c r="I101" s="3">
        <f>D101*E101+H101</f>
        <v/>
      </c>
      <c r="J101" s="3" t="n"/>
      <c r="K101" s="3" t="n"/>
      <c r="L101" s="3" t="n"/>
      <c r="M101" s="3" t="n"/>
      <c r="N101" s="3">
        <f>I101-J101-K101-L101-M101</f>
        <v/>
      </c>
    </row>
    <row r="102" ht="18" customHeight="1">
      <c r="A102" s="4" t="n"/>
      <c r="B102" s="4" t="n"/>
      <c r="C102" s="4" t="n"/>
      <c r="D102" s="4" t="n"/>
      <c r="E102" s="4" t="n"/>
      <c r="F102" s="4" t="n"/>
      <c r="G102" s="4" t="n"/>
      <c r="H102" s="4">
        <f>ROUND((D102/8)*1.25*G102,2)</f>
        <v/>
      </c>
      <c r="I102" s="4">
        <f>D102*E102+H102</f>
        <v/>
      </c>
      <c r="J102" s="4" t="n"/>
      <c r="K102" s="4" t="n"/>
      <c r="L102" s="4" t="n"/>
      <c r="M102" s="4" t="n"/>
      <c r="N102" s="4">
        <f>I102-J102-K102-L102-M102</f>
        <v/>
      </c>
    </row>
    <row r="103" ht="18" customHeight="1">
      <c r="A103" s="3" t="n"/>
      <c r="B103" s="3" t="n"/>
      <c r="C103" s="3" t="n"/>
      <c r="D103" s="3" t="n"/>
      <c r="E103" s="3" t="n"/>
      <c r="F103" s="3" t="n"/>
      <c r="G103" s="3" t="n"/>
      <c r="H103" s="3">
        <f>ROUND((D103/8)*1.25*G103,2)</f>
        <v/>
      </c>
      <c r="I103" s="3">
        <f>D103*E103+H103</f>
        <v/>
      </c>
      <c r="J103" s="3" t="n"/>
      <c r="K103" s="3" t="n"/>
      <c r="L103" s="3" t="n"/>
      <c r="M103" s="3" t="n"/>
      <c r="N103" s="3">
        <f>I103-J103-K103-L103-M103</f>
        <v/>
      </c>
    </row>
    <row r="104" ht="18" customHeight="1">
      <c r="A104" s="4" t="n"/>
      <c r="B104" s="4" t="n"/>
      <c r="C104" s="4" t="n"/>
      <c r="D104" s="4" t="n"/>
      <c r="E104" s="4" t="n"/>
      <c r="F104" s="4" t="n"/>
      <c r="G104" s="4" t="n"/>
      <c r="H104" s="4">
        <f>ROUND((D104/8)*1.25*G104,2)</f>
        <v/>
      </c>
      <c r="I104" s="4">
        <f>D104*E104+H104</f>
        <v/>
      </c>
      <c r="J104" s="4" t="n"/>
      <c r="K104" s="4" t="n"/>
      <c r="L104" s="4" t="n"/>
      <c r="M104" s="4" t="n"/>
      <c r="N104" s="4">
        <f>I104-J104-K104-L104-M104</f>
        <v/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1" customWidth="1" min="4" max="4"/>
    <col width="13" customWidth="1" min="5" max="5"/>
    <col width="15" customWidth="1" min="6" max="6"/>
    <col width="17" customWidth="1" min="7" max="7"/>
    <col width="8" customWidth="1" min="8" max="8"/>
  </cols>
  <sheetData>
    <row r="1" ht="30" customHeight="1">
      <c r="A1" s="1" t="inlineStr">
        <is>
          <t>🏆  EMPLOYEE PERFORMANCE TRACKER</t>
        </is>
      </c>
    </row>
    <row r="2" ht="8" customHeight="1"/>
    <row r="3" ht="8" customHeight="1"/>
    <row r="4" ht="22" customHeight="1">
      <c r="A4" s="2" t="inlineStr">
        <is>
          <t>Employee Name</t>
        </is>
      </c>
      <c r="B4" s="2" t="inlineStr">
        <is>
          <t>Total Sales</t>
        </is>
      </c>
      <c r="C4" s="2" t="inlineStr">
        <is>
          <t>Transactions</t>
        </is>
      </c>
      <c r="D4" s="2" t="inlineStr">
        <is>
          <t>Avg Sale</t>
        </is>
      </c>
      <c r="E4" s="2" t="inlineStr">
        <is>
          <t>Attendance %</t>
        </is>
      </c>
      <c r="F4" s="2" t="inlineStr">
        <is>
          <t>Customer Rating</t>
        </is>
      </c>
      <c r="G4" s="2" t="inlineStr">
        <is>
          <t>Performance Score</t>
        </is>
      </c>
      <c r="H4" s="2" t="inlineStr">
        <is>
          <t>Rank</t>
        </is>
      </c>
    </row>
    <row r="5" ht="18" customHeight="1">
      <c r="A5" s="3" t="n"/>
      <c r="B5" s="3">
        <f>SUMIF('📊 Sales Report'!K$5:K$504,A5,'📊 Sales Report'!I$5:I$504)</f>
        <v/>
      </c>
      <c r="C5" s="3">
        <f>COUNTIF('📊 Sales Report'!K$5:K$504,A5)</f>
        <v/>
      </c>
      <c r="D5" s="3">
        <f>IFERROR(B5/C5,0)</f>
        <v/>
      </c>
      <c r="E5" s="3" t="n"/>
      <c r="F5" s="3" t="n"/>
      <c r="G5" s="3">
        <f>ROUND((B5/MAX($B$5:$B$54)*40)+(C5/MAX($C$5:$C$54)*30)+(F5/5*30),1)</f>
        <v/>
      </c>
      <c r="H5" s="3">
        <f>RANK(G5,$G$5:$G$54,0)</f>
        <v/>
      </c>
    </row>
    <row r="6" ht="18" customHeight="1">
      <c r="A6" s="4" t="n"/>
      <c r="B6" s="4">
        <f>SUMIF('📊 Sales Report'!K$5:K$504,A6,'📊 Sales Report'!I$5:I$504)</f>
        <v/>
      </c>
      <c r="C6" s="4">
        <f>COUNTIF('📊 Sales Report'!K$5:K$504,A6)</f>
        <v/>
      </c>
      <c r="D6" s="4">
        <f>IFERROR(B6/C6,0)</f>
        <v/>
      </c>
      <c r="E6" s="4" t="n"/>
      <c r="F6" s="4" t="n"/>
      <c r="G6" s="4">
        <f>ROUND((B6/MAX($B$5:$B$54)*40)+(C6/MAX($C$5:$C$54)*30)+(F6/5*30),1)</f>
        <v/>
      </c>
      <c r="H6" s="4">
        <f>RANK(G6,$G$5:$G$54,0)</f>
        <v/>
      </c>
    </row>
    <row r="7" ht="18" customHeight="1">
      <c r="A7" s="3" t="n"/>
      <c r="B7" s="3">
        <f>SUMIF('📊 Sales Report'!K$5:K$504,A7,'📊 Sales Report'!I$5:I$504)</f>
        <v/>
      </c>
      <c r="C7" s="3">
        <f>COUNTIF('📊 Sales Report'!K$5:K$504,A7)</f>
        <v/>
      </c>
      <c r="D7" s="3">
        <f>IFERROR(B7/C7,0)</f>
        <v/>
      </c>
      <c r="E7" s="3" t="n"/>
      <c r="F7" s="3" t="n"/>
      <c r="G7" s="3">
        <f>ROUND((B7/MAX($B$5:$B$54)*40)+(C7/MAX($C$5:$C$54)*30)+(F7/5*30),1)</f>
        <v/>
      </c>
      <c r="H7" s="3">
        <f>RANK(G7,$G$5:$G$54,0)</f>
        <v/>
      </c>
    </row>
    <row r="8" ht="18" customHeight="1">
      <c r="A8" s="4" t="n"/>
      <c r="B8" s="4">
        <f>SUMIF('📊 Sales Report'!K$5:K$504,A8,'📊 Sales Report'!I$5:I$504)</f>
        <v/>
      </c>
      <c r="C8" s="4">
        <f>COUNTIF('📊 Sales Report'!K$5:K$504,A8)</f>
        <v/>
      </c>
      <c r="D8" s="4">
        <f>IFERROR(B8/C8,0)</f>
        <v/>
      </c>
      <c r="E8" s="4" t="n"/>
      <c r="F8" s="4" t="n"/>
      <c r="G8" s="4">
        <f>ROUND((B8/MAX($B$5:$B$54)*40)+(C8/MAX($C$5:$C$54)*30)+(F8/5*30),1)</f>
        <v/>
      </c>
      <c r="H8" s="4">
        <f>RANK(G8,$G$5:$G$54,0)</f>
        <v/>
      </c>
    </row>
    <row r="9" ht="18" customHeight="1">
      <c r="A9" s="3" t="n"/>
      <c r="B9" s="3">
        <f>SUMIF('📊 Sales Report'!K$5:K$504,A9,'📊 Sales Report'!I$5:I$504)</f>
        <v/>
      </c>
      <c r="C9" s="3">
        <f>COUNTIF('📊 Sales Report'!K$5:K$504,A9)</f>
        <v/>
      </c>
      <c r="D9" s="3">
        <f>IFERROR(B9/C9,0)</f>
        <v/>
      </c>
      <c r="E9" s="3" t="n"/>
      <c r="F9" s="3" t="n"/>
      <c r="G9" s="3">
        <f>ROUND((B9/MAX($B$5:$B$54)*40)+(C9/MAX($C$5:$C$54)*30)+(F9/5*30),1)</f>
        <v/>
      </c>
      <c r="H9" s="3">
        <f>RANK(G9,$G$5:$G$54,0)</f>
        <v/>
      </c>
    </row>
    <row r="10" ht="18" customHeight="1">
      <c r="A10" s="4" t="n"/>
      <c r="B10" s="4">
        <f>SUMIF('📊 Sales Report'!K$5:K$504,A10,'📊 Sales Report'!I$5:I$504)</f>
        <v/>
      </c>
      <c r="C10" s="4">
        <f>COUNTIF('📊 Sales Report'!K$5:K$504,A10)</f>
        <v/>
      </c>
      <c r="D10" s="4">
        <f>IFERROR(B10/C10,0)</f>
        <v/>
      </c>
      <c r="E10" s="4" t="n"/>
      <c r="F10" s="4" t="n"/>
      <c r="G10" s="4">
        <f>ROUND((B10/MAX($B$5:$B$54)*40)+(C10/MAX($C$5:$C$54)*30)+(F10/5*30),1)</f>
        <v/>
      </c>
      <c r="H10" s="4">
        <f>RANK(G10,$G$5:$G$54,0)</f>
        <v/>
      </c>
    </row>
    <row r="11" ht="18" customHeight="1">
      <c r="A11" s="3" t="n"/>
      <c r="B11" s="3">
        <f>SUMIF('📊 Sales Report'!K$5:K$504,A11,'📊 Sales Report'!I$5:I$504)</f>
        <v/>
      </c>
      <c r="C11" s="3">
        <f>COUNTIF('📊 Sales Report'!K$5:K$504,A11)</f>
        <v/>
      </c>
      <c r="D11" s="3">
        <f>IFERROR(B11/C11,0)</f>
        <v/>
      </c>
      <c r="E11" s="3" t="n"/>
      <c r="F11" s="3" t="n"/>
      <c r="G11" s="3">
        <f>ROUND((B11/MAX($B$5:$B$54)*40)+(C11/MAX($C$5:$C$54)*30)+(F11/5*30),1)</f>
        <v/>
      </c>
      <c r="H11" s="3">
        <f>RANK(G11,$G$5:$G$54,0)</f>
        <v/>
      </c>
    </row>
    <row r="12" ht="18" customHeight="1">
      <c r="A12" s="4" t="n"/>
      <c r="B12" s="4">
        <f>SUMIF('📊 Sales Report'!K$5:K$504,A12,'📊 Sales Report'!I$5:I$504)</f>
        <v/>
      </c>
      <c r="C12" s="4">
        <f>COUNTIF('📊 Sales Report'!K$5:K$504,A12)</f>
        <v/>
      </c>
      <c r="D12" s="4">
        <f>IFERROR(B12/C12,0)</f>
        <v/>
      </c>
      <c r="E12" s="4" t="n"/>
      <c r="F12" s="4" t="n"/>
      <c r="G12" s="4">
        <f>ROUND((B12/MAX($B$5:$B$54)*40)+(C12/MAX($C$5:$C$54)*30)+(F12/5*30),1)</f>
        <v/>
      </c>
      <c r="H12" s="4">
        <f>RANK(G12,$G$5:$G$54,0)</f>
        <v/>
      </c>
    </row>
    <row r="13" ht="18" customHeight="1">
      <c r="A13" s="3" t="n"/>
      <c r="B13" s="3">
        <f>SUMIF('📊 Sales Report'!K$5:K$504,A13,'📊 Sales Report'!I$5:I$504)</f>
        <v/>
      </c>
      <c r="C13" s="3">
        <f>COUNTIF('📊 Sales Report'!K$5:K$504,A13)</f>
        <v/>
      </c>
      <c r="D13" s="3">
        <f>IFERROR(B13/C13,0)</f>
        <v/>
      </c>
      <c r="E13" s="3" t="n"/>
      <c r="F13" s="3" t="n"/>
      <c r="G13" s="3">
        <f>ROUND((B13/MAX($B$5:$B$54)*40)+(C13/MAX($C$5:$C$54)*30)+(F13/5*30),1)</f>
        <v/>
      </c>
      <c r="H13" s="3">
        <f>RANK(G13,$G$5:$G$54,0)</f>
        <v/>
      </c>
    </row>
    <row r="14" ht="18" customHeight="1">
      <c r="A14" s="4" t="n"/>
      <c r="B14" s="4">
        <f>SUMIF('📊 Sales Report'!K$5:K$504,A14,'📊 Sales Report'!I$5:I$504)</f>
        <v/>
      </c>
      <c r="C14" s="4">
        <f>COUNTIF('📊 Sales Report'!K$5:K$504,A14)</f>
        <v/>
      </c>
      <c r="D14" s="4">
        <f>IFERROR(B14/C14,0)</f>
        <v/>
      </c>
      <c r="E14" s="4" t="n"/>
      <c r="F14" s="4" t="n"/>
      <c r="G14" s="4">
        <f>ROUND((B14/MAX($B$5:$B$54)*40)+(C14/MAX($C$5:$C$54)*30)+(F14/5*30),1)</f>
        <v/>
      </c>
      <c r="H14" s="4">
        <f>RANK(G14,$G$5:$G$54,0)</f>
        <v/>
      </c>
    </row>
    <row r="15" ht="18" customHeight="1">
      <c r="A15" s="3" t="n"/>
      <c r="B15" s="3">
        <f>SUMIF('📊 Sales Report'!K$5:K$504,A15,'📊 Sales Report'!I$5:I$504)</f>
        <v/>
      </c>
      <c r="C15" s="3">
        <f>COUNTIF('📊 Sales Report'!K$5:K$504,A15)</f>
        <v/>
      </c>
      <c r="D15" s="3">
        <f>IFERROR(B15/C15,0)</f>
        <v/>
      </c>
      <c r="E15" s="3" t="n"/>
      <c r="F15" s="3" t="n"/>
      <c r="G15" s="3">
        <f>ROUND((B15/MAX($B$5:$B$54)*40)+(C15/MAX($C$5:$C$54)*30)+(F15/5*30),1)</f>
        <v/>
      </c>
      <c r="H15" s="3">
        <f>RANK(G15,$G$5:$G$54,0)</f>
        <v/>
      </c>
    </row>
    <row r="16" ht="18" customHeight="1">
      <c r="A16" s="4" t="n"/>
      <c r="B16" s="4">
        <f>SUMIF('📊 Sales Report'!K$5:K$504,A16,'📊 Sales Report'!I$5:I$504)</f>
        <v/>
      </c>
      <c r="C16" s="4">
        <f>COUNTIF('📊 Sales Report'!K$5:K$504,A16)</f>
        <v/>
      </c>
      <c r="D16" s="4">
        <f>IFERROR(B16/C16,0)</f>
        <v/>
      </c>
      <c r="E16" s="4" t="n"/>
      <c r="F16" s="4" t="n"/>
      <c r="G16" s="4">
        <f>ROUND((B16/MAX($B$5:$B$54)*40)+(C16/MAX($C$5:$C$54)*30)+(F16/5*30),1)</f>
        <v/>
      </c>
      <c r="H16" s="4">
        <f>RANK(G16,$G$5:$G$54,0)</f>
        <v/>
      </c>
    </row>
    <row r="17" ht="18" customHeight="1">
      <c r="A17" s="3" t="n"/>
      <c r="B17" s="3">
        <f>SUMIF('📊 Sales Report'!K$5:K$504,A17,'📊 Sales Report'!I$5:I$504)</f>
        <v/>
      </c>
      <c r="C17" s="3">
        <f>COUNTIF('📊 Sales Report'!K$5:K$504,A17)</f>
        <v/>
      </c>
      <c r="D17" s="3">
        <f>IFERROR(B17/C17,0)</f>
        <v/>
      </c>
      <c r="E17" s="3" t="n"/>
      <c r="F17" s="3" t="n"/>
      <c r="G17" s="3">
        <f>ROUND((B17/MAX($B$5:$B$54)*40)+(C17/MAX($C$5:$C$54)*30)+(F17/5*30),1)</f>
        <v/>
      </c>
      <c r="H17" s="3">
        <f>RANK(G17,$G$5:$G$54,0)</f>
        <v/>
      </c>
    </row>
    <row r="18" ht="18" customHeight="1">
      <c r="A18" s="4" t="n"/>
      <c r="B18" s="4">
        <f>SUMIF('📊 Sales Report'!K$5:K$504,A18,'📊 Sales Report'!I$5:I$504)</f>
        <v/>
      </c>
      <c r="C18" s="4">
        <f>COUNTIF('📊 Sales Report'!K$5:K$504,A18)</f>
        <v/>
      </c>
      <c r="D18" s="4">
        <f>IFERROR(B18/C18,0)</f>
        <v/>
      </c>
      <c r="E18" s="4" t="n"/>
      <c r="F18" s="4" t="n"/>
      <c r="G18" s="4">
        <f>ROUND((B18/MAX($B$5:$B$54)*40)+(C18/MAX($C$5:$C$54)*30)+(F18/5*30),1)</f>
        <v/>
      </c>
      <c r="H18" s="4">
        <f>RANK(G18,$G$5:$G$54,0)</f>
        <v/>
      </c>
    </row>
    <row r="19" ht="18" customHeight="1">
      <c r="A19" s="3" t="n"/>
      <c r="B19" s="3">
        <f>SUMIF('📊 Sales Report'!K$5:K$504,A19,'📊 Sales Report'!I$5:I$504)</f>
        <v/>
      </c>
      <c r="C19" s="3">
        <f>COUNTIF('📊 Sales Report'!K$5:K$504,A19)</f>
        <v/>
      </c>
      <c r="D19" s="3">
        <f>IFERROR(B19/C19,0)</f>
        <v/>
      </c>
      <c r="E19" s="3" t="n"/>
      <c r="F19" s="3" t="n"/>
      <c r="G19" s="3">
        <f>ROUND((B19/MAX($B$5:$B$54)*40)+(C19/MAX($C$5:$C$54)*30)+(F19/5*30),1)</f>
        <v/>
      </c>
      <c r="H19" s="3">
        <f>RANK(G19,$G$5:$G$54,0)</f>
        <v/>
      </c>
    </row>
    <row r="20" ht="18" customHeight="1">
      <c r="A20" s="4" t="n"/>
      <c r="B20" s="4">
        <f>SUMIF('📊 Sales Report'!K$5:K$504,A20,'📊 Sales Report'!I$5:I$504)</f>
        <v/>
      </c>
      <c r="C20" s="4">
        <f>COUNTIF('📊 Sales Report'!K$5:K$504,A20)</f>
        <v/>
      </c>
      <c r="D20" s="4">
        <f>IFERROR(B20/C20,0)</f>
        <v/>
      </c>
      <c r="E20" s="4" t="n"/>
      <c r="F20" s="4" t="n"/>
      <c r="G20" s="4">
        <f>ROUND((B20/MAX($B$5:$B$54)*40)+(C20/MAX($C$5:$C$54)*30)+(F20/5*30),1)</f>
        <v/>
      </c>
      <c r="H20" s="4">
        <f>RANK(G20,$G$5:$G$54,0)</f>
        <v/>
      </c>
    </row>
    <row r="21" ht="18" customHeight="1">
      <c r="A21" s="3" t="n"/>
      <c r="B21" s="3">
        <f>SUMIF('📊 Sales Report'!K$5:K$504,A21,'📊 Sales Report'!I$5:I$504)</f>
        <v/>
      </c>
      <c r="C21" s="3">
        <f>COUNTIF('📊 Sales Report'!K$5:K$504,A21)</f>
        <v/>
      </c>
      <c r="D21" s="3">
        <f>IFERROR(B21/C21,0)</f>
        <v/>
      </c>
      <c r="E21" s="3" t="n"/>
      <c r="F21" s="3" t="n"/>
      <c r="G21" s="3">
        <f>ROUND((B21/MAX($B$5:$B$54)*40)+(C21/MAX($C$5:$C$54)*30)+(F21/5*30),1)</f>
        <v/>
      </c>
      <c r="H21" s="3">
        <f>RANK(G21,$G$5:$G$54,0)</f>
        <v/>
      </c>
    </row>
    <row r="22" ht="18" customHeight="1">
      <c r="A22" s="4" t="n"/>
      <c r="B22" s="4">
        <f>SUMIF('📊 Sales Report'!K$5:K$504,A22,'📊 Sales Report'!I$5:I$504)</f>
        <v/>
      </c>
      <c r="C22" s="4">
        <f>COUNTIF('📊 Sales Report'!K$5:K$504,A22)</f>
        <v/>
      </c>
      <c r="D22" s="4">
        <f>IFERROR(B22/C22,0)</f>
        <v/>
      </c>
      <c r="E22" s="4" t="n"/>
      <c r="F22" s="4" t="n"/>
      <c r="G22" s="4">
        <f>ROUND((B22/MAX($B$5:$B$54)*40)+(C22/MAX($C$5:$C$54)*30)+(F22/5*30),1)</f>
        <v/>
      </c>
      <c r="H22" s="4">
        <f>RANK(G22,$G$5:$G$54,0)</f>
        <v/>
      </c>
    </row>
    <row r="23" ht="18" customHeight="1">
      <c r="A23" s="3" t="n"/>
      <c r="B23" s="3">
        <f>SUMIF('📊 Sales Report'!K$5:K$504,A23,'📊 Sales Report'!I$5:I$504)</f>
        <v/>
      </c>
      <c r="C23" s="3">
        <f>COUNTIF('📊 Sales Report'!K$5:K$504,A23)</f>
        <v/>
      </c>
      <c r="D23" s="3">
        <f>IFERROR(B23/C23,0)</f>
        <v/>
      </c>
      <c r="E23" s="3" t="n"/>
      <c r="F23" s="3" t="n"/>
      <c r="G23" s="3">
        <f>ROUND((B23/MAX($B$5:$B$54)*40)+(C23/MAX($C$5:$C$54)*30)+(F23/5*30),1)</f>
        <v/>
      </c>
      <c r="H23" s="3">
        <f>RANK(G23,$G$5:$G$54,0)</f>
        <v/>
      </c>
    </row>
    <row r="24" ht="18" customHeight="1">
      <c r="A24" s="4" t="n"/>
      <c r="B24" s="4">
        <f>SUMIF('📊 Sales Report'!K$5:K$504,A24,'📊 Sales Report'!I$5:I$504)</f>
        <v/>
      </c>
      <c r="C24" s="4">
        <f>COUNTIF('📊 Sales Report'!K$5:K$504,A24)</f>
        <v/>
      </c>
      <c r="D24" s="4">
        <f>IFERROR(B24/C24,0)</f>
        <v/>
      </c>
      <c r="E24" s="4" t="n"/>
      <c r="F24" s="4" t="n"/>
      <c r="G24" s="4">
        <f>ROUND((B24/MAX($B$5:$B$54)*40)+(C24/MAX($C$5:$C$54)*30)+(F24/5*30),1)</f>
        <v/>
      </c>
      <c r="H24" s="4">
        <f>RANK(G24,$G$5:$G$54,0)</f>
        <v/>
      </c>
    </row>
    <row r="25" ht="18" customHeight="1">
      <c r="A25" s="3" t="n"/>
      <c r="B25" s="3">
        <f>SUMIF('📊 Sales Report'!K$5:K$504,A25,'📊 Sales Report'!I$5:I$504)</f>
        <v/>
      </c>
      <c r="C25" s="3">
        <f>COUNTIF('📊 Sales Report'!K$5:K$504,A25)</f>
        <v/>
      </c>
      <c r="D25" s="3">
        <f>IFERROR(B25/C25,0)</f>
        <v/>
      </c>
      <c r="E25" s="3" t="n"/>
      <c r="F25" s="3" t="n"/>
      <c r="G25" s="3">
        <f>ROUND((B25/MAX($B$5:$B$54)*40)+(C25/MAX($C$5:$C$54)*30)+(F25/5*30),1)</f>
        <v/>
      </c>
      <c r="H25" s="3">
        <f>RANK(G25,$G$5:$G$54,0)</f>
        <v/>
      </c>
    </row>
    <row r="26" ht="18" customHeight="1">
      <c r="A26" s="4" t="n"/>
      <c r="B26" s="4">
        <f>SUMIF('📊 Sales Report'!K$5:K$504,A26,'📊 Sales Report'!I$5:I$504)</f>
        <v/>
      </c>
      <c r="C26" s="4">
        <f>COUNTIF('📊 Sales Report'!K$5:K$504,A26)</f>
        <v/>
      </c>
      <c r="D26" s="4">
        <f>IFERROR(B26/C26,0)</f>
        <v/>
      </c>
      <c r="E26" s="4" t="n"/>
      <c r="F26" s="4" t="n"/>
      <c r="G26" s="4">
        <f>ROUND((B26/MAX($B$5:$B$54)*40)+(C26/MAX($C$5:$C$54)*30)+(F26/5*30),1)</f>
        <v/>
      </c>
      <c r="H26" s="4">
        <f>RANK(G26,$G$5:$G$54,0)</f>
        <v/>
      </c>
    </row>
    <row r="27" ht="18" customHeight="1">
      <c r="A27" s="3" t="n"/>
      <c r="B27" s="3">
        <f>SUMIF('📊 Sales Report'!K$5:K$504,A27,'📊 Sales Report'!I$5:I$504)</f>
        <v/>
      </c>
      <c r="C27" s="3">
        <f>COUNTIF('📊 Sales Report'!K$5:K$504,A27)</f>
        <v/>
      </c>
      <c r="D27" s="3">
        <f>IFERROR(B27/C27,0)</f>
        <v/>
      </c>
      <c r="E27" s="3" t="n"/>
      <c r="F27" s="3" t="n"/>
      <c r="G27" s="3">
        <f>ROUND((B27/MAX($B$5:$B$54)*40)+(C27/MAX($C$5:$C$54)*30)+(F27/5*30),1)</f>
        <v/>
      </c>
      <c r="H27" s="3">
        <f>RANK(G27,$G$5:$G$54,0)</f>
        <v/>
      </c>
    </row>
    <row r="28" ht="18" customHeight="1">
      <c r="A28" s="4" t="n"/>
      <c r="B28" s="4">
        <f>SUMIF('📊 Sales Report'!K$5:K$504,A28,'📊 Sales Report'!I$5:I$504)</f>
        <v/>
      </c>
      <c r="C28" s="4">
        <f>COUNTIF('📊 Sales Report'!K$5:K$504,A28)</f>
        <v/>
      </c>
      <c r="D28" s="4">
        <f>IFERROR(B28/C28,0)</f>
        <v/>
      </c>
      <c r="E28" s="4" t="n"/>
      <c r="F28" s="4" t="n"/>
      <c r="G28" s="4">
        <f>ROUND((B28/MAX($B$5:$B$54)*40)+(C28/MAX($C$5:$C$54)*30)+(F28/5*30),1)</f>
        <v/>
      </c>
      <c r="H28" s="4">
        <f>RANK(G28,$G$5:$G$54,0)</f>
        <v/>
      </c>
    </row>
    <row r="29" ht="18" customHeight="1">
      <c r="A29" s="3" t="n"/>
      <c r="B29" s="3">
        <f>SUMIF('📊 Sales Report'!K$5:K$504,A29,'📊 Sales Report'!I$5:I$504)</f>
        <v/>
      </c>
      <c r="C29" s="3">
        <f>COUNTIF('📊 Sales Report'!K$5:K$504,A29)</f>
        <v/>
      </c>
      <c r="D29" s="3">
        <f>IFERROR(B29/C29,0)</f>
        <v/>
      </c>
      <c r="E29" s="3" t="n"/>
      <c r="F29" s="3" t="n"/>
      <c r="G29" s="3">
        <f>ROUND((B29/MAX($B$5:$B$54)*40)+(C29/MAX($C$5:$C$54)*30)+(F29/5*30),1)</f>
        <v/>
      </c>
      <c r="H29" s="3">
        <f>RANK(G29,$G$5:$G$54,0)</f>
        <v/>
      </c>
    </row>
    <row r="30" ht="18" customHeight="1">
      <c r="A30" s="4" t="n"/>
      <c r="B30" s="4">
        <f>SUMIF('📊 Sales Report'!K$5:K$504,A30,'📊 Sales Report'!I$5:I$504)</f>
        <v/>
      </c>
      <c r="C30" s="4">
        <f>COUNTIF('📊 Sales Report'!K$5:K$504,A30)</f>
        <v/>
      </c>
      <c r="D30" s="4">
        <f>IFERROR(B30/C30,0)</f>
        <v/>
      </c>
      <c r="E30" s="4" t="n"/>
      <c r="F30" s="4" t="n"/>
      <c r="G30" s="4">
        <f>ROUND((B30/MAX($B$5:$B$54)*40)+(C30/MAX($C$5:$C$54)*30)+(F30/5*30),1)</f>
        <v/>
      </c>
      <c r="H30" s="4">
        <f>RANK(G30,$G$5:$G$54,0)</f>
        <v/>
      </c>
    </row>
    <row r="31" ht="18" customHeight="1">
      <c r="A31" s="3" t="n"/>
      <c r="B31" s="3">
        <f>SUMIF('📊 Sales Report'!K$5:K$504,A31,'📊 Sales Report'!I$5:I$504)</f>
        <v/>
      </c>
      <c r="C31" s="3">
        <f>COUNTIF('📊 Sales Report'!K$5:K$504,A31)</f>
        <v/>
      </c>
      <c r="D31" s="3">
        <f>IFERROR(B31/C31,0)</f>
        <v/>
      </c>
      <c r="E31" s="3" t="n"/>
      <c r="F31" s="3" t="n"/>
      <c r="G31" s="3">
        <f>ROUND((B31/MAX($B$5:$B$54)*40)+(C31/MAX($C$5:$C$54)*30)+(F31/5*30),1)</f>
        <v/>
      </c>
      <c r="H31" s="3">
        <f>RANK(G31,$G$5:$G$54,0)</f>
        <v/>
      </c>
    </row>
    <row r="32" ht="18" customHeight="1">
      <c r="A32" s="4" t="n"/>
      <c r="B32" s="4">
        <f>SUMIF('📊 Sales Report'!K$5:K$504,A32,'📊 Sales Report'!I$5:I$504)</f>
        <v/>
      </c>
      <c r="C32" s="4">
        <f>COUNTIF('📊 Sales Report'!K$5:K$504,A32)</f>
        <v/>
      </c>
      <c r="D32" s="4">
        <f>IFERROR(B32/C32,0)</f>
        <v/>
      </c>
      <c r="E32" s="4" t="n"/>
      <c r="F32" s="4" t="n"/>
      <c r="G32" s="4">
        <f>ROUND((B32/MAX($B$5:$B$54)*40)+(C32/MAX($C$5:$C$54)*30)+(F32/5*30),1)</f>
        <v/>
      </c>
      <c r="H32" s="4">
        <f>RANK(G32,$G$5:$G$54,0)</f>
        <v/>
      </c>
    </row>
    <row r="33" ht="18" customHeight="1">
      <c r="A33" s="3" t="n"/>
      <c r="B33" s="3">
        <f>SUMIF('📊 Sales Report'!K$5:K$504,A33,'📊 Sales Report'!I$5:I$504)</f>
        <v/>
      </c>
      <c r="C33" s="3">
        <f>COUNTIF('📊 Sales Report'!K$5:K$504,A33)</f>
        <v/>
      </c>
      <c r="D33" s="3">
        <f>IFERROR(B33/C33,0)</f>
        <v/>
      </c>
      <c r="E33" s="3" t="n"/>
      <c r="F33" s="3" t="n"/>
      <c r="G33" s="3">
        <f>ROUND((B33/MAX($B$5:$B$54)*40)+(C33/MAX($C$5:$C$54)*30)+(F33/5*30),1)</f>
        <v/>
      </c>
      <c r="H33" s="3">
        <f>RANK(G33,$G$5:$G$54,0)</f>
        <v/>
      </c>
    </row>
    <row r="34" ht="18" customHeight="1">
      <c r="A34" s="4" t="n"/>
      <c r="B34" s="4">
        <f>SUMIF('📊 Sales Report'!K$5:K$504,A34,'📊 Sales Report'!I$5:I$504)</f>
        <v/>
      </c>
      <c r="C34" s="4">
        <f>COUNTIF('📊 Sales Report'!K$5:K$504,A34)</f>
        <v/>
      </c>
      <c r="D34" s="4">
        <f>IFERROR(B34/C34,0)</f>
        <v/>
      </c>
      <c r="E34" s="4" t="n"/>
      <c r="F34" s="4" t="n"/>
      <c r="G34" s="4">
        <f>ROUND((B34/MAX($B$5:$B$54)*40)+(C34/MAX($C$5:$C$54)*30)+(F34/5*30),1)</f>
        <v/>
      </c>
      <c r="H34" s="4">
        <f>RANK(G34,$G$5:$G$54,0)</f>
        <v/>
      </c>
    </row>
    <row r="35" ht="18" customHeight="1">
      <c r="A35" s="3" t="n"/>
      <c r="B35" s="3">
        <f>SUMIF('📊 Sales Report'!K$5:K$504,A35,'📊 Sales Report'!I$5:I$504)</f>
        <v/>
      </c>
      <c r="C35" s="3">
        <f>COUNTIF('📊 Sales Report'!K$5:K$504,A35)</f>
        <v/>
      </c>
      <c r="D35" s="3">
        <f>IFERROR(B35/C35,0)</f>
        <v/>
      </c>
      <c r="E35" s="3" t="n"/>
      <c r="F35" s="3" t="n"/>
      <c r="G35" s="3">
        <f>ROUND((B35/MAX($B$5:$B$54)*40)+(C35/MAX($C$5:$C$54)*30)+(F35/5*30),1)</f>
        <v/>
      </c>
      <c r="H35" s="3">
        <f>RANK(G35,$G$5:$G$54,0)</f>
        <v/>
      </c>
    </row>
    <row r="36" ht="18" customHeight="1">
      <c r="A36" s="4" t="n"/>
      <c r="B36" s="4">
        <f>SUMIF('📊 Sales Report'!K$5:K$504,A36,'📊 Sales Report'!I$5:I$504)</f>
        <v/>
      </c>
      <c r="C36" s="4">
        <f>COUNTIF('📊 Sales Report'!K$5:K$504,A36)</f>
        <v/>
      </c>
      <c r="D36" s="4">
        <f>IFERROR(B36/C36,0)</f>
        <v/>
      </c>
      <c r="E36" s="4" t="n"/>
      <c r="F36" s="4" t="n"/>
      <c r="G36" s="4">
        <f>ROUND((B36/MAX($B$5:$B$54)*40)+(C36/MAX($C$5:$C$54)*30)+(F36/5*30),1)</f>
        <v/>
      </c>
      <c r="H36" s="4">
        <f>RANK(G36,$G$5:$G$54,0)</f>
        <v/>
      </c>
    </row>
    <row r="37" ht="18" customHeight="1">
      <c r="A37" s="3" t="n"/>
      <c r="B37" s="3">
        <f>SUMIF('📊 Sales Report'!K$5:K$504,A37,'📊 Sales Report'!I$5:I$504)</f>
        <v/>
      </c>
      <c r="C37" s="3">
        <f>COUNTIF('📊 Sales Report'!K$5:K$504,A37)</f>
        <v/>
      </c>
      <c r="D37" s="3">
        <f>IFERROR(B37/C37,0)</f>
        <v/>
      </c>
      <c r="E37" s="3" t="n"/>
      <c r="F37" s="3" t="n"/>
      <c r="G37" s="3">
        <f>ROUND((B37/MAX($B$5:$B$54)*40)+(C37/MAX($C$5:$C$54)*30)+(F37/5*30),1)</f>
        <v/>
      </c>
      <c r="H37" s="3">
        <f>RANK(G37,$G$5:$G$54,0)</f>
        <v/>
      </c>
    </row>
    <row r="38" ht="18" customHeight="1">
      <c r="A38" s="4" t="n"/>
      <c r="B38" s="4">
        <f>SUMIF('📊 Sales Report'!K$5:K$504,A38,'📊 Sales Report'!I$5:I$504)</f>
        <v/>
      </c>
      <c r="C38" s="4">
        <f>COUNTIF('📊 Sales Report'!K$5:K$504,A38)</f>
        <v/>
      </c>
      <c r="D38" s="4">
        <f>IFERROR(B38/C38,0)</f>
        <v/>
      </c>
      <c r="E38" s="4" t="n"/>
      <c r="F38" s="4" t="n"/>
      <c r="G38" s="4">
        <f>ROUND((B38/MAX($B$5:$B$54)*40)+(C38/MAX($C$5:$C$54)*30)+(F38/5*30),1)</f>
        <v/>
      </c>
      <c r="H38" s="4">
        <f>RANK(G38,$G$5:$G$54,0)</f>
        <v/>
      </c>
    </row>
    <row r="39" ht="18" customHeight="1">
      <c r="A39" s="3" t="n"/>
      <c r="B39" s="3">
        <f>SUMIF('📊 Sales Report'!K$5:K$504,A39,'📊 Sales Report'!I$5:I$504)</f>
        <v/>
      </c>
      <c r="C39" s="3">
        <f>COUNTIF('📊 Sales Report'!K$5:K$504,A39)</f>
        <v/>
      </c>
      <c r="D39" s="3">
        <f>IFERROR(B39/C39,0)</f>
        <v/>
      </c>
      <c r="E39" s="3" t="n"/>
      <c r="F39" s="3" t="n"/>
      <c r="G39" s="3">
        <f>ROUND((B39/MAX($B$5:$B$54)*40)+(C39/MAX($C$5:$C$54)*30)+(F39/5*30),1)</f>
        <v/>
      </c>
      <c r="H39" s="3">
        <f>RANK(G39,$G$5:$G$54,0)</f>
        <v/>
      </c>
    </row>
    <row r="40" ht="18" customHeight="1">
      <c r="A40" s="4" t="n"/>
      <c r="B40" s="4">
        <f>SUMIF('📊 Sales Report'!K$5:K$504,A40,'📊 Sales Report'!I$5:I$504)</f>
        <v/>
      </c>
      <c r="C40" s="4">
        <f>COUNTIF('📊 Sales Report'!K$5:K$504,A40)</f>
        <v/>
      </c>
      <c r="D40" s="4">
        <f>IFERROR(B40/C40,0)</f>
        <v/>
      </c>
      <c r="E40" s="4" t="n"/>
      <c r="F40" s="4" t="n"/>
      <c r="G40" s="4">
        <f>ROUND((B40/MAX($B$5:$B$54)*40)+(C40/MAX($C$5:$C$54)*30)+(F40/5*30),1)</f>
        <v/>
      </c>
      <c r="H40" s="4">
        <f>RANK(G40,$G$5:$G$54,0)</f>
        <v/>
      </c>
    </row>
    <row r="41" ht="18" customHeight="1">
      <c r="A41" s="3" t="n"/>
      <c r="B41" s="3">
        <f>SUMIF('📊 Sales Report'!K$5:K$504,A41,'📊 Sales Report'!I$5:I$504)</f>
        <v/>
      </c>
      <c r="C41" s="3">
        <f>COUNTIF('📊 Sales Report'!K$5:K$504,A41)</f>
        <v/>
      </c>
      <c r="D41" s="3">
        <f>IFERROR(B41/C41,0)</f>
        <v/>
      </c>
      <c r="E41" s="3" t="n"/>
      <c r="F41" s="3" t="n"/>
      <c r="G41" s="3">
        <f>ROUND((B41/MAX($B$5:$B$54)*40)+(C41/MAX($C$5:$C$54)*30)+(F41/5*30),1)</f>
        <v/>
      </c>
      <c r="H41" s="3">
        <f>RANK(G41,$G$5:$G$54,0)</f>
        <v/>
      </c>
    </row>
    <row r="42" ht="18" customHeight="1">
      <c r="A42" s="4" t="n"/>
      <c r="B42" s="4">
        <f>SUMIF('📊 Sales Report'!K$5:K$504,A42,'📊 Sales Report'!I$5:I$504)</f>
        <v/>
      </c>
      <c r="C42" s="4">
        <f>COUNTIF('📊 Sales Report'!K$5:K$504,A42)</f>
        <v/>
      </c>
      <c r="D42" s="4">
        <f>IFERROR(B42/C42,0)</f>
        <v/>
      </c>
      <c r="E42" s="4" t="n"/>
      <c r="F42" s="4" t="n"/>
      <c r="G42" s="4">
        <f>ROUND((B42/MAX($B$5:$B$54)*40)+(C42/MAX($C$5:$C$54)*30)+(F42/5*30),1)</f>
        <v/>
      </c>
      <c r="H42" s="4">
        <f>RANK(G42,$G$5:$G$54,0)</f>
        <v/>
      </c>
    </row>
    <row r="43" ht="18" customHeight="1">
      <c r="A43" s="3" t="n"/>
      <c r="B43" s="3">
        <f>SUMIF('📊 Sales Report'!K$5:K$504,A43,'📊 Sales Report'!I$5:I$504)</f>
        <v/>
      </c>
      <c r="C43" s="3">
        <f>COUNTIF('📊 Sales Report'!K$5:K$504,A43)</f>
        <v/>
      </c>
      <c r="D43" s="3">
        <f>IFERROR(B43/C43,0)</f>
        <v/>
      </c>
      <c r="E43" s="3" t="n"/>
      <c r="F43" s="3" t="n"/>
      <c r="G43" s="3">
        <f>ROUND((B43/MAX($B$5:$B$54)*40)+(C43/MAX($C$5:$C$54)*30)+(F43/5*30),1)</f>
        <v/>
      </c>
      <c r="H43" s="3">
        <f>RANK(G43,$G$5:$G$54,0)</f>
        <v/>
      </c>
    </row>
    <row r="44" ht="18" customHeight="1">
      <c r="A44" s="4" t="n"/>
      <c r="B44" s="4">
        <f>SUMIF('📊 Sales Report'!K$5:K$504,A44,'📊 Sales Report'!I$5:I$504)</f>
        <v/>
      </c>
      <c r="C44" s="4">
        <f>COUNTIF('📊 Sales Report'!K$5:K$504,A44)</f>
        <v/>
      </c>
      <c r="D44" s="4">
        <f>IFERROR(B44/C44,0)</f>
        <v/>
      </c>
      <c r="E44" s="4" t="n"/>
      <c r="F44" s="4" t="n"/>
      <c r="G44" s="4">
        <f>ROUND((B44/MAX($B$5:$B$54)*40)+(C44/MAX($C$5:$C$54)*30)+(F44/5*30),1)</f>
        <v/>
      </c>
      <c r="H44" s="4">
        <f>RANK(G44,$G$5:$G$54,0)</f>
        <v/>
      </c>
    </row>
    <row r="45" ht="18" customHeight="1">
      <c r="A45" s="3" t="n"/>
      <c r="B45" s="3">
        <f>SUMIF('📊 Sales Report'!K$5:K$504,A45,'📊 Sales Report'!I$5:I$504)</f>
        <v/>
      </c>
      <c r="C45" s="3">
        <f>COUNTIF('📊 Sales Report'!K$5:K$504,A45)</f>
        <v/>
      </c>
      <c r="D45" s="3">
        <f>IFERROR(B45/C45,0)</f>
        <v/>
      </c>
      <c r="E45" s="3" t="n"/>
      <c r="F45" s="3" t="n"/>
      <c r="G45" s="3">
        <f>ROUND((B45/MAX($B$5:$B$54)*40)+(C45/MAX($C$5:$C$54)*30)+(F45/5*30),1)</f>
        <v/>
      </c>
      <c r="H45" s="3">
        <f>RANK(G45,$G$5:$G$54,0)</f>
        <v/>
      </c>
    </row>
    <row r="46" ht="18" customHeight="1">
      <c r="A46" s="4" t="n"/>
      <c r="B46" s="4">
        <f>SUMIF('📊 Sales Report'!K$5:K$504,A46,'📊 Sales Report'!I$5:I$504)</f>
        <v/>
      </c>
      <c r="C46" s="4">
        <f>COUNTIF('📊 Sales Report'!K$5:K$504,A46)</f>
        <v/>
      </c>
      <c r="D46" s="4">
        <f>IFERROR(B46/C46,0)</f>
        <v/>
      </c>
      <c r="E46" s="4" t="n"/>
      <c r="F46" s="4" t="n"/>
      <c r="G46" s="4">
        <f>ROUND((B46/MAX($B$5:$B$54)*40)+(C46/MAX($C$5:$C$54)*30)+(F46/5*30),1)</f>
        <v/>
      </c>
      <c r="H46" s="4">
        <f>RANK(G46,$G$5:$G$54,0)</f>
        <v/>
      </c>
    </row>
    <row r="47" ht="18" customHeight="1">
      <c r="A47" s="3" t="n"/>
      <c r="B47" s="3">
        <f>SUMIF('📊 Sales Report'!K$5:K$504,A47,'📊 Sales Report'!I$5:I$504)</f>
        <v/>
      </c>
      <c r="C47" s="3">
        <f>COUNTIF('📊 Sales Report'!K$5:K$504,A47)</f>
        <v/>
      </c>
      <c r="D47" s="3">
        <f>IFERROR(B47/C47,0)</f>
        <v/>
      </c>
      <c r="E47" s="3" t="n"/>
      <c r="F47" s="3" t="n"/>
      <c r="G47" s="3">
        <f>ROUND((B47/MAX($B$5:$B$54)*40)+(C47/MAX($C$5:$C$54)*30)+(F47/5*30),1)</f>
        <v/>
      </c>
      <c r="H47" s="3">
        <f>RANK(G47,$G$5:$G$54,0)</f>
        <v/>
      </c>
    </row>
    <row r="48" ht="18" customHeight="1">
      <c r="A48" s="4" t="n"/>
      <c r="B48" s="4">
        <f>SUMIF('📊 Sales Report'!K$5:K$504,A48,'📊 Sales Report'!I$5:I$504)</f>
        <v/>
      </c>
      <c r="C48" s="4">
        <f>COUNTIF('📊 Sales Report'!K$5:K$504,A48)</f>
        <v/>
      </c>
      <c r="D48" s="4">
        <f>IFERROR(B48/C48,0)</f>
        <v/>
      </c>
      <c r="E48" s="4" t="n"/>
      <c r="F48" s="4" t="n"/>
      <c r="G48" s="4">
        <f>ROUND((B48/MAX($B$5:$B$54)*40)+(C48/MAX($C$5:$C$54)*30)+(F48/5*30),1)</f>
        <v/>
      </c>
      <c r="H48" s="4">
        <f>RANK(G48,$G$5:$G$54,0)</f>
        <v/>
      </c>
    </row>
    <row r="49" ht="18" customHeight="1">
      <c r="A49" s="3" t="n"/>
      <c r="B49" s="3">
        <f>SUMIF('📊 Sales Report'!K$5:K$504,A49,'📊 Sales Report'!I$5:I$504)</f>
        <v/>
      </c>
      <c r="C49" s="3">
        <f>COUNTIF('📊 Sales Report'!K$5:K$504,A49)</f>
        <v/>
      </c>
      <c r="D49" s="3">
        <f>IFERROR(B49/C49,0)</f>
        <v/>
      </c>
      <c r="E49" s="3" t="n"/>
      <c r="F49" s="3" t="n"/>
      <c r="G49" s="3">
        <f>ROUND((B49/MAX($B$5:$B$54)*40)+(C49/MAX($C$5:$C$54)*30)+(F49/5*30),1)</f>
        <v/>
      </c>
      <c r="H49" s="3">
        <f>RANK(G49,$G$5:$G$54,0)</f>
        <v/>
      </c>
    </row>
    <row r="50" ht="18" customHeight="1">
      <c r="A50" s="4" t="n"/>
      <c r="B50" s="4">
        <f>SUMIF('📊 Sales Report'!K$5:K$504,A50,'📊 Sales Report'!I$5:I$504)</f>
        <v/>
      </c>
      <c r="C50" s="4">
        <f>COUNTIF('📊 Sales Report'!K$5:K$504,A50)</f>
        <v/>
      </c>
      <c r="D50" s="4">
        <f>IFERROR(B50/C50,0)</f>
        <v/>
      </c>
      <c r="E50" s="4" t="n"/>
      <c r="F50" s="4" t="n"/>
      <c r="G50" s="4">
        <f>ROUND((B50/MAX($B$5:$B$54)*40)+(C50/MAX($C$5:$C$54)*30)+(F50/5*30),1)</f>
        <v/>
      </c>
      <c r="H50" s="4">
        <f>RANK(G50,$G$5:$G$54,0)</f>
        <v/>
      </c>
    </row>
    <row r="51" ht="18" customHeight="1">
      <c r="A51" s="3" t="n"/>
      <c r="B51" s="3">
        <f>SUMIF('📊 Sales Report'!K$5:K$504,A51,'📊 Sales Report'!I$5:I$504)</f>
        <v/>
      </c>
      <c r="C51" s="3">
        <f>COUNTIF('📊 Sales Report'!K$5:K$504,A51)</f>
        <v/>
      </c>
      <c r="D51" s="3">
        <f>IFERROR(B51/C51,0)</f>
        <v/>
      </c>
      <c r="E51" s="3" t="n"/>
      <c r="F51" s="3" t="n"/>
      <c r="G51" s="3">
        <f>ROUND((B51/MAX($B$5:$B$54)*40)+(C51/MAX($C$5:$C$54)*30)+(F51/5*30),1)</f>
        <v/>
      </c>
      <c r="H51" s="3">
        <f>RANK(G51,$G$5:$G$54,0)</f>
        <v/>
      </c>
    </row>
    <row r="52" ht="18" customHeight="1">
      <c r="A52" s="4" t="n"/>
      <c r="B52" s="4">
        <f>SUMIF('📊 Sales Report'!K$5:K$504,A52,'📊 Sales Report'!I$5:I$504)</f>
        <v/>
      </c>
      <c r="C52" s="4">
        <f>COUNTIF('📊 Sales Report'!K$5:K$504,A52)</f>
        <v/>
      </c>
      <c r="D52" s="4">
        <f>IFERROR(B52/C52,0)</f>
        <v/>
      </c>
      <c r="E52" s="4" t="n"/>
      <c r="F52" s="4" t="n"/>
      <c r="G52" s="4">
        <f>ROUND((B52/MAX($B$5:$B$54)*40)+(C52/MAX($C$5:$C$54)*30)+(F52/5*30),1)</f>
        <v/>
      </c>
      <c r="H52" s="4">
        <f>RANK(G52,$G$5:$G$54,0)</f>
        <v/>
      </c>
    </row>
    <row r="53" ht="18" customHeight="1">
      <c r="A53" s="3" t="n"/>
      <c r="B53" s="3">
        <f>SUMIF('📊 Sales Report'!K$5:K$504,A53,'📊 Sales Report'!I$5:I$504)</f>
        <v/>
      </c>
      <c r="C53" s="3">
        <f>COUNTIF('📊 Sales Report'!K$5:K$504,A53)</f>
        <v/>
      </c>
      <c r="D53" s="3">
        <f>IFERROR(B53/C53,0)</f>
        <v/>
      </c>
      <c r="E53" s="3" t="n"/>
      <c r="F53" s="3" t="n"/>
      <c r="G53" s="3">
        <f>ROUND((B53/MAX($B$5:$B$54)*40)+(C53/MAX($C$5:$C$54)*30)+(F53/5*30),1)</f>
        <v/>
      </c>
      <c r="H53" s="3">
        <f>RANK(G53,$G$5:$G$54,0)</f>
        <v/>
      </c>
    </row>
    <row r="54" ht="18" customHeight="1">
      <c r="A54" s="4" t="n"/>
      <c r="B54" s="4">
        <f>SUMIF('📊 Sales Report'!K$5:K$504,A54,'📊 Sales Report'!I$5:I$504)</f>
        <v/>
      </c>
      <c r="C54" s="4">
        <f>COUNTIF('📊 Sales Report'!K$5:K$504,A54)</f>
        <v/>
      </c>
      <c r="D54" s="4">
        <f>IFERROR(B54/C54,0)</f>
        <v/>
      </c>
      <c r="E54" s="4" t="n"/>
      <c r="F54" s="4" t="n"/>
      <c r="G54" s="4">
        <f>ROUND((B54/MAX($B$5:$B$54)*40)+(C54/MAX($C$5:$C$54)*30)+(F54/5*30),1)</f>
        <v/>
      </c>
      <c r="H54" s="4">
        <f>RANK(G54,$G$5:$G$54,0)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1" customWidth="1" min="4" max="4"/>
    <col width="11" customWidth="1" min="5" max="5"/>
    <col width="13" customWidth="1" min="6" max="6"/>
    <col width="16" customWidth="1" min="7" max="7"/>
    <col width="15" customWidth="1" min="8" max="8"/>
  </cols>
  <sheetData>
    <row r="1" ht="30" customHeight="1">
      <c r="A1" s="1" t="inlineStr">
        <is>
          <t>🚚  SUPPLIER &amp; PURCHASE RECORDS</t>
        </is>
      </c>
    </row>
    <row r="2" ht="8" customHeight="1"/>
    <row r="3" ht="8" customHeight="1"/>
    <row r="4" ht="22" customHeight="1">
      <c r="A4" s="2" t="inlineStr">
        <is>
          <t>Purchase Date</t>
        </is>
      </c>
      <c r="B4" s="2" t="inlineStr">
        <is>
          <t>Supplier Name</t>
        </is>
      </c>
      <c r="C4" s="2" t="inlineStr">
        <is>
          <t>Product Purchased</t>
        </is>
      </c>
      <c r="D4" s="2" t="inlineStr">
        <is>
          <t>Quantity</t>
        </is>
      </c>
      <c r="E4" s="2" t="inlineStr">
        <is>
          <t>Unit Cost</t>
        </is>
      </c>
      <c r="F4" s="2" t="inlineStr">
        <is>
          <t>Total Amount</t>
        </is>
      </c>
      <c r="G4" s="2" t="inlineStr">
        <is>
          <t>Delivery Status</t>
        </is>
      </c>
      <c r="H4" s="2" t="inlineStr">
        <is>
          <t>Payment Status</t>
        </is>
      </c>
    </row>
    <row r="5" ht="18" customHeight="1">
      <c r="A5" s="3" t="n"/>
      <c r="B5" s="3" t="n"/>
      <c r="C5" s="3" t="n"/>
      <c r="D5" s="3" t="n"/>
      <c r="E5" s="3" t="n"/>
      <c r="F5" s="3">
        <f>D5*E5</f>
        <v/>
      </c>
      <c r="G5" s="3" t="n"/>
      <c r="H5" s="3" t="n"/>
    </row>
    <row r="6" ht="18" customHeight="1">
      <c r="A6" s="4" t="n"/>
      <c r="B6" s="4" t="n"/>
      <c r="C6" s="4" t="n"/>
      <c r="D6" s="4" t="n"/>
      <c r="E6" s="4" t="n"/>
      <c r="F6" s="4">
        <f>D6*E6</f>
        <v/>
      </c>
      <c r="G6" s="4" t="n"/>
      <c r="H6" s="4" t="n"/>
    </row>
    <row r="7" ht="18" customHeight="1">
      <c r="A7" s="3" t="n"/>
      <c r="B7" s="3" t="n"/>
      <c r="C7" s="3" t="n"/>
      <c r="D7" s="3" t="n"/>
      <c r="E7" s="3" t="n"/>
      <c r="F7" s="3">
        <f>D7*E7</f>
        <v/>
      </c>
      <c r="G7" s="3" t="n"/>
      <c r="H7" s="3" t="n"/>
    </row>
    <row r="8" ht="18" customHeight="1">
      <c r="A8" s="4" t="n"/>
      <c r="B8" s="4" t="n"/>
      <c r="C8" s="4" t="n"/>
      <c r="D8" s="4" t="n"/>
      <c r="E8" s="4" t="n"/>
      <c r="F8" s="4">
        <f>D8*E8</f>
        <v/>
      </c>
      <c r="G8" s="4" t="n"/>
      <c r="H8" s="4" t="n"/>
    </row>
    <row r="9" ht="18" customHeight="1">
      <c r="A9" s="3" t="n"/>
      <c r="B9" s="3" t="n"/>
      <c r="C9" s="3" t="n"/>
      <c r="D9" s="3" t="n"/>
      <c r="E9" s="3" t="n"/>
      <c r="F9" s="3">
        <f>D9*E9</f>
        <v/>
      </c>
      <c r="G9" s="3" t="n"/>
      <c r="H9" s="3" t="n"/>
    </row>
    <row r="10" ht="18" customHeight="1">
      <c r="A10" s="4" t="n"/>
      <c r="B10" s="4" t="n"/>
      <c r="C10" s="4" t="n"/>
      <c r="D10" s="4" t="n"/>
      <c r="E10" s="4" t="n"/>
      <c r="F10" s="4">
        <f>D10*E10</f>
        <v/>
      </c>
      <c r="G10" s="4" t="n"/>
      <c r="H10" s="4" t="n"/>
    </row>
    <row r="11" ht="18" customHeight="1">
      <c r="A11" s="3" t="n"/>
      <c r="B11" s="3" t="n"/>
      <c r="C11" s="3" t="n"/>
      <c r="D11" s="3" t="n"/>
      <c r="E11" s="3" t="n"/>
      <c r="F11" s="3">
        <f>D11*E11</f>
        <v/>
      </c>
      <c r="G11" s="3" t="n"/>
      <c r="H11" s="3" t="n"/>
    </row>
    <row r="12" ht="18" customHeight="1">
      <c r="A12" s="4" t="n"/>
      <c r="B12" s="4" t="n"/>
      <c r="C12" s="4" t="n"/>
      <c r="D12" s="4" t="n"/>
      <c r="E12" s="4" t="n"/>
      <c r="F12" s="4">
        <f>D12*E12</f>
        <v/>
      </c>
      <c r="G12" s="4" t="n"/>
      <c r="H12" s="4" t="n"/>
    </row>
    <row r="13" ht="18" customHeight="1">
      <c r="A13" s="3" t="n"/>
      <c r="B13" s="3" t="n"/>
      <c r="C13" s="3" t="n"/>
      <c r="D13" s="3" t="n"/>
      <c r="E13" s="3" t="n"/>
      <c r="F13" s="3">
        <f>D13*E13</f>
        <v/>
      </c>
      <c r="G13" s="3" t="n"/>
      <c r="H13" s="3" t="n"/>
    </row>
    <row r="14" ht="18" customHeight="1">
      <c r="A14" s="4" t="n"/>
      <c r="B14" s="4" t="n"/>
      <c r="C14" s="4" t="n"/>
      <c r="D14" s="4" t="n"/>
      <c r="E14" s="4" t="n"/>
      <c r="F14" s="4">
        <f>D14*E14</f>
        <v/>
      </c>
      <c r="G14" s="4" t="n"/>
      <c r="H14" s="4" t="n"/>
    </row>
    <row r="15" ht="18" customHeight="1">
      <c r="A15" s="3" t="n"/>
      <c r="B15" s="3" t="n"/>
      <c r="C15" s="3" t="n"/>
      <c r="D15" s="3" t="n"/>
      <c r="E15" s="3" t="n"/>
      <c r="F15" s="3">
        <f>D15*E15</f>
        <v/>
      </c>
      <c r="G15" s="3" t="n"/>
      <c r="H15" s="3" t="n"/>
    </row>
    <row r="16" ht="18" customHeight="1">
      <c r="A16" s="4" t="n"/>
      <c r="B16" s="4" t="n"/>
      <c r="C16" s="4" t="n"/>
      <c r="D16" s="4" t="n"/>
      <c r="E16" s="4" t="n"/>
      <c r="F16" s="4">
        <f>D16*E16</f>
        <v/>
      </c>
      <c r="G16" s="4" t="n"/>
      <c r="H16" s="4" t="n"/>
    </row>
    <row r="17" ht="18" customHeight="1">
      <c r="A17" s="3" t="n"/>
      <c r="B17" s="3" t="n"/>
      <c r="C17" s="3" t="n"/>
      <c r="D17" s="3" t="n"/>
      <c r="E17" s="3" t="n"/>
      <c r="F17" s="3">
        <f>D17*E17</f>
        <v/>
      </c>
      <c r="G17" s="3" t="n"/>
      <c r="H17" s="3" t="n"/>
    </row>
    <row r="18" ht="18" customHeight="1">
      <c r="A18" s="4" t="n"/>
      <c r="B18" s="4" t="n"/>
      <c r="C18" s="4" t="n"/>
      <c r="D18" s="4" t="n"/>
      <c r="E18" s="4" t="n"/>
      <c r="F18" s="4">
        <f>D18*E18</f>
        <v/>
      </c>
      <c r="G18" s="4" t="n"/>
      <c r="H18" s="4" t="n"/>
    </row>
    <row r="19" ht="18" customHeight="1">
      <c r="A19" s="3" t="n"/>
      <c r="B19" s="3" t="n"/>
      <c r="C19" s="3" t="n"/>
      <c r="D19" s="3" t="n"/>
      <c r="E19" s="3" t="n"/>
      <c r="F19" s="3">
        <f>D19*E19</f>
        <v/>
      </c>
      <c r="G19" s="3" t="n"/>
      <c r="H19" s="3" t="n"/>
    </row>
    <row r="20" ht="18" customHeight="1">
      <c r="A20" s="4" t="n"/>
      <c r="B20" s="4" t="n"/>
      <c r="C20" s="4" t="n"/>
      <c r="D20" s="4" t="n"/>
      <c r="E20" s="4" t="n"/>
      <c r="F20" s="4">
        <f>D20*E20</f>
        <v/>
      </c>
      <c r="G20" s="4" t="n"/>
      <c r="H20" s="4" t="n"/>
    </row>
    <row r="21" ht="18" customHeight="1">
      <c r="A21" s="3" t="n"/>
      <c r="B21" s="3" t="n"/>
      <c r="C21" s="3" t="n"/>
      <c r="D21" s="3" t="n"/>
      <c r="E21" s="3" t="n"/>
      <c r="F21" s="3">
        <f>D21*E21</f>
        <v/>
      </c>
      <c r="G21" s="3" t="n"/>
      <c r="H21" s="3" t="n"/>
    </row>
    <row r="22" ht="18" customHeight="1">
      <c r="A22" s="4" t="n"/>
      <c r="B22" s="4" t="n"/>
      <c r="C22" s="4" t="n"/>
      <c r="D22" s="4" t="n"/>
      <c r="E22" s="4" t="n"/>
      <c r="F22" s="4">
        <f>D22*E22</f>
        <v/>
      </c>
      <c r="G22" s="4" t="n"/>
      <c r="H22" s="4" t="n"/>
    </row>
    <row r="23" ht="18" customHeight="1">
      <c r="A23" s="3" t="n"/>
      <c r="B23" s="3" t="n"/>
      <c r="C23" s="3" t="n"/>
      <c r="D23" s="3" t="n"/>
      <c r="E23" s="3" t="n"/>
      <c r="F23" s="3">
        <f>D23*E23</f>
        <v/>
      </c>
      <c r="G23" s="3" t="n"/>
      <c r="H23" s="3" t="n"/>
    </row>
    <row r="24" ht="18" customHeight="1">
      <c r="A24" s="4" t="n"/>
      <c r="B24" s="4" t="n"/>
      <c r="C24" s="4" t="n"/>
      <c r="D24" s="4" t="n"/>
      <c r="E24" s="4" t="n"/>
      <c r="F24" s="4">
        <f>D24*E24</f>
        <v/>
      </c>
      <c r="G24" s="4" t="n"/>
      <c r="H24" s="4" t="n"/>
    </row>
    <row r="25" ht="18" customHeight="1">
      <c r="A25" s="3" t="n"/>
      <c r="B25" s="3" t="n"/>
      <c r="C25" s="3" t="n"/>
      <c r="D25" s="3" t="n"/>
      <c r="E25" s="3" t="n"/>
      <c r="F25" s="3">
        <f>D25*E25</f>
        <v/>
      </c>
      <c r="G25" s="3" t="n"/>
      <c r="H25" s="3" t="n"/>
    </row>
    <row r="26" ht="18" customHeight="1">
      <c r="A26" s="4" t="n"/>
      <c r="B26" s="4" t="n"/>
      <c r="C26" s="4" t="n"/>
      <c r="D26" s="4" t="n"/>
      <c r="E26" s="4" t="n"/>
      <c r="F26" s="4">
        <f>D26*E26</f>
        <v/>
      </c>
      <c r="G26" s="4" t="n"/>
      <c r="H26" s="4" t="n"/>
    </row>
    <row r="27" ht="18" customHeight="1">
      <c r="A27" s="3" t="n"/>
      <c r="B27" s="3" t="n"/>
      <c r="C27" s="3" t="n"/>
      <c r="D27" s="3" t="n"/>
      <c r="E27" s="3" t="n"/>
      <c r="F27" s="3">
        <f>D27*E27</f>
        <v/>
      </c>
      <c r="G27" s="3" t="n"/>
      <c r="H27" s="3" t="n"/>
    </row>
    <row r="28" ht="18" customHeight="1">
      <c r="A28" s="4" t="n"/>
      <c r="B28" s="4" t="n"/>
      <c r="C28" s="4" t="n"/>
      <c r="D28" s="4" t="n"/>
      <c r="E28" s="4" t="n"/>
      <c r="F28" s="4">
        <f>D28*E28</f>
        <v/>
      </c>
      <c r="G28" s="4" t="n"/>
      <c r="H28" s="4" t="n"/>
    </row>
    <row r="29" ht="18" customHeight="1">
      <c r="A29" s="3" t="n"/>
      <c r="B29" s="3" t="n"/>
      <c r="C29" s="3" t="n"/>
      <c r="D29" s="3" t="n"/>
      <c r="E29" s="3" t="n"/>
      <c r="F29" s="3">
        <f>D29*E29</f>
        <v/>
      </c>
      <c r="G29" s="3" t="n"/>
      <c r="H29" s="3" t="n"/>
    </row>
    <row r="30" ht="18" customHeight="1">
      <c r="A30" s="4" t="n"/>
      <c r="B30" s="4" t="n"/>
      <c r="C30" s="4" t="n"/>
      <c r="D30" s="4" t="n"/>
      <c r="E30" s="4" t="n"/>
      <c r="F30" s="4">
        <f>D30*E30</f>
        <v/>
      </c>
      <c r="G30" s="4" t="n"/>
      <c r="H30" s="4" t="n"/>
    </row>
    <row r="31" ht="18" customHeight="1">
      <c r="A31" s="3" t="n"/>
      <c r="B31" s="3" t="n"/>
      <c r="C31" s="3" t="n"/>
      <c r="D31" s="3" t="n"/>
      <c r="E31" s="3" t="n"/>
      <c r="F31" s="3">
        <f>D31*E31</f>
        <v/>
      </c>
      <c r="G31" s="3" t="n"/>
      <c r="H31" s="3" t="n"/>
    </row>
    <row r="32" ht="18" customHeight="1">
      <c r="A32" s="4" t="n"/>
      <c r="B32" s="4" t="n"/>
      <c r="C32" s="4" t="n"/>
      <c r="D32" s="4" t="n"/>
      <c r="E32" s="4" t="n"/>
      <c r="F32" s="4">
        <f>D32*E32</f>
        <v/>
      </c>
      <c r="G32" s="4" t="n"/>
      <c r="H32" s="4" t="n"/>
    </row>
    <row r="33" ht="18" customHeight="1">
      <c r="A33" s="3" t="n"/>
      <c r="B33" s="3" t="n"/>
      <c r="C33" s="3" t="n"/>
      <c r="D33" s="3" t="n"/>
      <c r="E33" s="3" t="n"/>
      <c r="F33" s="3">
        <f>D33*E33</f>
        <v/>
      </c>
      <c r="G33" s="3" t="n"/>
      <c r="H33" s="3" t="n"/>
    </row>
    <row r="34" ht="18" customHeight="1">
      <c r="A34" s="4" t="n"/>
      <c r="B34" s="4" t="n"/>
      <c r="C34" s="4" t="n"/>
      <c r="D34" s="4" t="n"/>
      <c r="E34" s="4" t="n"/>
      <c r="F34" s="4">
        <f>D34*E34</f>
        <v/>
      </c>
      <c r="G34" s="4" t="n"/>
      <c r="H34" s="4" t="n"/>
    </row>
    <row r="35" ht="18" customHeight="1">
      <c r="A35" s="3" t="n"/>
      <c r="B35" s="3" t="n"/>
      <c r="C35" s="3" t="n"/>
      <c r="D35" s="3" t="n"/>
      <c r="E35" s="3" t="n"/>
      <c r="F35" s="3">
        <f>D35*E35</f>
        <v/>
      </c>
      <c r="G35" s="3" t="n"/>
      <c r="H35" s="3" t="n"/>
    </row>
    <row r="36" ht="18" customHeight="1">
      <c r="A36" s="4" t="n"/>
      <c r="B36" s="4" t="n"/>
      <c r="C36" s="4" t="n"/>
      <c r="D36" s="4" t="n"/>
      <c r="E36" s="4" t="n"/>
      <c r="F36" s="4">
        <f>D36*E36</f>
        <v/>
      </c>
      <c r="G36" s="4" t="n"/>
      <c r="H36" s="4" t="n"/>
    </row>
    <row r="37" ht="18" customHeight="1">
      <c r="A37" s="3" t="n"/>
      <c r="B37" s="3" t="n"/>
      <c r="C37" s="3" t="n"/>
      <c r="D37" s="3" t="n"/>
      <c r="E37" s="3" t="n"/>
      <c r="F37" s="3">
        <f>D37*E37</f>
        <v/>
      </c>
      <c r="G37" s="3" t="n"/>
      <c r="H37" s="3" t="n"/>
    </row>
    <row r="38" ht="18" customHeight="1">
      <c r="A38" s="4" t="n"/>
      <c r="B38" s="4" t="n"/>
      <c r="C38" s="4" t="n"/>
      <c r="D38" s="4" t="n"/>
      <c r="E38" s="4" t="n"/>
      <c r="F38" s="4">
        <f>D38*E38</f>
        <v/>
      </c>
      <c r="G38" s="4" t="n"/>
      <c r="H38" s="4" t="n"/>
    </row>
    <row r="39" ht="18" customHeight="1">
      <c r="A39" s="3" t="n"/>
      <c r="B39" s="3" t="n"/>
      <c r="C39" s="3" t="n"/>
      <c r="D39" s="3" t="n"/>
      <c r="E39" s="3" t="n"/>
      <c r="F39" s="3">
        <f>D39*E39</f>
        <v/>
      </c>
      <c r="G39" s="3" t="n"/>
      <c r="H39" s="3" t="n"/>
    </row>
    <row r="40" ht="18" customHeight="1">
      <c r="A40" s="4" t="n"/>
      <c r="B40" s="4" t="n"/>
      <c r="C40" s="4" t="n"/>
      <c r="D40" s="4" t="n"/>
      <c r="E40" s="4" t="n"/>
      <c r="F40" s="4">
        <f>D40*E40</f>
        <v/>
      </c>
      <c r="G40" s="4" t="n"/>
      <c r="H40" s="4" t="n"/>
    </row>
    <row r="41" ht="18" customHeight="1">
      <c r="A41" s="3" t="n"/>
      <c r="B41" s="3" t="n"/>
      <c r="C41" s="3" t="n"/>
      <c r="D41" s="3" t="n"/>
      <c r="E41" s="3" t="n"/>
      <c r="F41" s="3">
        <f>D41*E41</f>
        <v/>
      </c>
      <c r="G41" s="3" t="n"/>
      <c r="H41" s="3" t="n"/>
    </row>
    <row r="42" ht="18" customHeight="1">
      <c r="A42" s="4" t="n"/>
      <c r="B42" s="4" t="n"/>
      <c r="C42" s="4" t="n"/>
      <c r="D42" s="4" t="n"/>
      <c r="E42" s="4" t="n"/>
      <c r="F42" s="4">
        <f>D42*E42</f>
        <v/>
      </c>
      <c r="G42" s="4" t="n"/>
      <c r="H42" s="4" t="n"/>
    </row>
    <row r="43" ht="18" customHeight="1">
      <c r="A43" s="3" t="n"/>
      <c r="B43" s="3" t="n"/>
      <c r="C43" s="3" t="n"/>
      <c r="D43" s="3" t="n"/>
      <c r="E43" s="3" t="n"/>
      <c r="F43" s="3">
        <f>D43*E43</f>
        <v/>
      </c>
      <c r="G43" s="3" t="n"/>
      <c r="H43" s="3" t="n"/>
    </row>
    <row r="44" ht="18" customHeight="1">
      <c r="A44" s="4" t="n"/>
      <c r="B44" s="4" t="n"/>
      <c r="C44" s="4" t="n"/>
      <c r="D44" s="4" t="n"/>
      <c r="E44" s="4" t="n"/>
      <c r="F44" s="4">
        <f>D44*E44</f>
        <v/>
      </c>
      <c r="G44" s="4" t="n"/>
      <c r="H44" s="4" t="n"/>
    </row>
    <row r="45" ht="18" customHeight="1">
      <c r="A45" s="3" t="n"/>
      <c r="B45" s="3" t="n"/>
      <c r="C45" s="3" t="n"/>
      <c r="D45" s="3" t="n"/>
      <c r="E45" s="3" t="n"/>
      <c r="F45" s="3">
        <f>D45*E45</f>
        <v/>
      </c>
      <c r="G45" s="3" t="n"/>
      <c r="H45" s="3" t="n"/>
    </row>
    <row r="46" ht="18" customHeight="1">
      <c r="A46" s="4" t="n"/>
      <c r="B46" s="4" t="n"/>
      <c r="C46" s="4" t="n"/>
      <c r="D46" s="4" t="n"/>
      <c r="E46" s="4" t="n"/>
      <c r="F46" s="4">
        <f>D46*E46</f>
        <v/>
      </c>
      <c r="G46" s="4" t="n"/>
      <c r="H46" s="4" t="n"/>
    </row>
    <row r="47" ht="18" customHeight="1">
      <c r="A47" s="3" t="n"/>
      <c r="B47" s="3" t="n"/>
      <c r="C47" s="3" t="n"/>
      <c r="D47" s="3" t="n"/>
      <c r="E47" s="3" t="n"/>
      <c r="F47" s="3">
        <f>D47*E47</f>
        <v/>
      </c>
      <c r="G47" s="3" t="n"/>
      <c r="H47" s="3" t="n"/>
    </row>
    <row r="48" ht="18" customHeight="1">
      <c r="A48" s="4" t="n"/>
      <c r="B48" s="4" t="n"/>
      <c r="C48" s="4" t="n"/>
      <c r="D48" s="4" t="n"/>
      <c r="E48" s="4" t="n"/>
      <c r="F48" s="4">
        <f>D48*E48</f>
        <v/>
      </c>
      <c r="G48" s="4" t="n"/>
      <c r="H48" s="4" t="n"/>
    </row>
    <row r="49" ht="18" customHeight="1">
      <c r="A49" s="3" t="n"/>
      <c r="B49" s="3" t="n"/>
      <c r="C49" s="3" t="n"/>
      <c r="D49" s="3" t="n"/>
      <c r="E49" s="3" t="n"/>
      <c r="F49" s="3">
        <f>D49*E49</f>
        <v/>
      </c>
      <c r="G49" s="3" t="n"/>
      <c r="H49" s="3" t="n"/>
    </row>
    <row r="50" ht="18" customHeight="1">
      <c r="A50" s="4" t="n"/>
      <c r="B50" s="4" t="n"/>
      <c r="C50" s="4" t="n"/>
      <c r="D50" s="4" t="n"/>
      <c r="E50" s="4" t="n"/>
      <c r="F50" s="4">
        <f>D50*E50</f>
        <v/>
      </c>
      <c r="G50" s="4" t="n"/>
      <c r="H50" s="4" t="n"/>
    </row>
    <row r="51" ht="18" customHeight="1">
      <c r="A51" s="3" t="n"/>
      <c r="B51" s="3" t="n"/>
      <c r="C51" s="3" t="n"/>
      <c r="D51" s="3" t="n"/>
      <c r="E51" s="3" t="n"/>
      <c r="F51" s="3">
        <f>D51*E51</f>
        <v/>
      </c>
      <c r="G51" s="3" t="n"/>
      <c r="H51" s="3" t="n"/>
    </row>
    <row r="52" ht="18" customHeight="1">
      <c r="A52" s="4" t="n"/>
      <c r="B52" s="4" t="n"/>
      <c r="C52" s="4" t="n"/>
      <c r="D52" s="4" t="n"/>
      <c r="E52" s="4" t="n"/>
      <c r="F52" s="4">
        <f>D52*E52</f>
        <v/>
      </c>
      <c r="G52" s="4" t="n"/>
      <c r="H52" s="4" t="n"/>
    </row>
    <row r="53" ht="18" customHeight="1">
      <c r="A53" s="3" t="n"/>
      <c r="B53" s="3" t="n"/>
      <c r="C53" s="3" t="n"/>
      <c r="D53" s="3" t="n"/>
      <c r="E53" s="3" t="n"/>
      <c r="F53" s="3">
        <f>D53*E53</f>
        <v/>
      </c>
      <c r="G53" s="3" t="n"/>
      <c r="H53" s="3" t="n"/>
    </row>
    <row r="54" ht="18" customHeight="1">
      <c r="A54" s="4" t="n"/>
      <c r="B54" s="4" t="n"/>
      <c r="C54" s="4" t="n"/>
      <c r="D54" s="4" t="n"/>
      <c r="E54" s="4" t="n"/>
      <c r="F54" s="4">
        <f>D54*E54</f>
        <v/>
      </c>
      <c r="G54" s="4" t="n"/>
      <c r="H54" s="4" t="n"/>
    </row>
    <row r="55" ht="18" customHeight="1">
      <c r="A55" s="3" t="n"/>
      <c r="B55" s="3" t="n"/>
      <c r="C55" s="3" t="n"/>
      <c r="D55" s="3" t="n"/>
      <c r="E55" s="3" t="n"/>
      <c r="F55" s="3">
        <f>D55*E55</f>
        <v/>
      </c>
      <c r="G55" s="3" t="n"/>
      <c r="H55" s="3" t="n"/>
    </row>
    <row r="56" ht="18" customHeight="1">
      <c r="A56" s="4" t="n"/>
      <c r="B56" s="4" t="n"/>
      <c r="C56" s="4" t="n"/>
      <c r="D56" s="4" t="n"/>
      <c r="E56" s="4" t="n"/>
      <c r="F56" s="4">
        <f>D56*E56</f>
        <v/>
      </c>
      <c r="G56" s="4" t="n"/>
      <c r="H56" s="4" t="n"/>
    </row>
    <row r="57" ht="18" customHeight="1">
      <c r="A57" s="3" t="n"/>
      <c r="B57" s="3" t="n"/>
      <c r="C57" s="3" t="n"/>
      <c r="D57" s="3" t="n"/>
      <c r="E57" s="3" t="n"/>
      <c r="F57" s="3">
        <f>D57*E57</f>
        <v/>
      </c>
      <c r="G57" s="3" t="n"/>
      <c r="H57" s="3" t="n"/>
    </row>
    <row r="58" ht="18" customHeight="1">
      <c r="A58" s="4" t="n"/>
      <c r="B58" s="4" t="n"/>
      <c r="C58" s="4" t="n"/>
      <c r="D58" s="4" t="n"/>
      <c r="E58" s="4" t="n"/>
      <c r="F58" s="4">
        <f>D58*E58</f>
        <v/>
      </c>
      <c r="G58" s="4" t="n"/>
      <c r="H58" s="4" t="n"/>
    </row>
    <row r="59" ht="18" customHeight="1">
      <c r="A59" s="3" t="n"/>
      <c r="B59" s="3" t="n"/>
      <c r="C59" s="3" t="n"/>
      <c r="D59" s="3" t="n"/>
      <c r="E59" s="3" t="n"/>
      <c r="F59" s="3">
        <f>D59*E59</f>
        <v/>
      </c>
      <c r="G59" s="3" t="n"/>
      <c r="H59" s="3" t="n"/>
    </row>
    <row r="60" ht="18" customHeight="1">
      <c r="A60" s="4" t="n"/>
      <c r="B60" s="4" t="n"/>
      <c r="C60" s="4" t="n"/>
      <c r="D60" s="4" t="n"/>
      <c r="E60" s="4" t="n"/>
      <c r="F60" s="4">
        <f>D60*E60</f>
        <v/>
      </c>
      <c r="G60" s="4" t="n"/>
      <c r="H60" s="4" t="n"/>
    </row>
    <row r="61" ht="18" customHeight="1">
      <c r="A61" s="3" t="n"/>
      <c r="B61" s="3" t="n"/>
      <c r="C61" s="3" t="n"/>
      <c r="D61" s="3" t="n"/>
      <c r="E61" s="3" t="n"/>
      <c r="F61" s="3">
        <f>D61*E61</f>
        <v/>
      </c>
      <c r="G61" s="3" t="n"/>
      <c r="H61" s="3" t="n"/>
    </row>
    <row r="62" ht="18" customHeight="1">
      <c r="A62" s="4" t="n"/>
      <c r="B62" s="4" t="n"/>
      <c r="C62" s="4" t="n"/>
      <c r="D62" s="4" t="n"/>
      <c r="E62" s="4" t="n"/>
      <c r="F62" s="4">
        <f>D62*E62</f>
        <v/>
      </c>
      <c r="G62" s="4" t="n"/>
      <c r="H62" s="4" t="n"/>
    </row>
    <row r="63" ht="18" customHeight="1">
      <c r="A63" s="3" t="n"/>
      <c r="B63" s="3" t="n"/>
      <c r="C63" s="3" t="n"/>
      <c r="D63" s="3" t="n"/>
      <c r="E63" s="3" t="n"/>
      <c r="F63" s="3">
        <f>D63*E63</f>
        <v/>
      </c>
      <c r="G63" s="3" t="n"/>
      <c r="H63" s="3" t="n"/>
    </row>
    <row r="64" ht="18" customHeight="1">
      <c r="A64" s="4" t="n"/>
      <c r="B64" s="4" t="n"/>
      <c r="C64" s="4" t="n"/>
      <c r="D64" s="4" t="n"/>
      <c r="E64" s="4" t="n"/>
      <c r="F64" s="4">
        <f>D64*E64</f>
        <v/>
      </c>
      <c r="G64" s="4" t="n"/>
      <c r="H64" s="4" t="n"/>
    </row>
    <row r="65" ht="18" customHeight="1">
      <c r="A65" s="3" t="n"/>
      <c r="B65" s="3" t="n"/>
      <c r="C65" s="3" t="n"/>
      <c r="D65" s="3" t="n"/>
      <c r="E65" s="3" t="n"/>
      <c r="F65" s="3">
        <f>D65*E65</f>
        <v/>
      </c>
      <c r="G65" s="3" t="n"/>
      <c r="H65" s="3" t="n"/>
    </row>
    <row r="66" ht="18" customHeight="1">
      <c r="A66" s="4" t="n"/>
      <c r="B66" s="4" t="n"/>
      <c r="C66" s="4" t="n"/>
      <c r="D66" s="4" t="n"/>
      <c r="E66" s="4" t="n"/>
      <c r="F66" s="4">
        <f>D66*E66</f>
        <v/>
      </c>
      <c r="G66" s="4" t="n"/>
      <c r="H66" s="4" t="n"/>
    </row>
    <row r="67" ht="18" customHeight="1">
      <c r="A67" s="3" t="n"/>
      <c r="B67" s="3" t="n"/>
      <c r="C67" s="3" t="n"/>
      <c r="D67" s="3" t="n"/>
      <c r="E67" s="3" t="n"/>
      <c r="F67" s="3">
        <f>D67*E67</f>
        <v/>
      </c>
      <c r="G67" s="3" t="n"/>
      <c r="H67" s="3" t="n"/>
    </row>
    <row r="68" ht="18" customHeight="1">
      <c r="A68" s="4" t="n"/>
      <c r="B68" s="4" t="n"/>
      <c r="C68" s="4" t="n"/>
      <c r="D68" s="4" t="n"/>
      <c r="E68" s="4" t="n"/>
      <c r="F68" s="4">
        <f>D68*E68</f>
        <v/>
      </c>
      <c r="G68" s="4" t="n"/>
      <c r="H68" s="4" t="n"/>
    </row>
    <row r="69" ht="18" customHeight="1">
      <c r="A69" s="3" t="n"/>
      <c r="B69" s="3" t="n"/>
      <c r="C69" s="3" t="n"/>
      <c r="D69" s="3" t="n"/>
      <c r="E69" s="3" t="n"/>
      <c r="F69" s="3">
        <f>D69*E69</f>
        <v/>
      </c>
      <c r="G69" s="3" t="n"/>
      <c r="H69" s="3" t="n"/>
    </row>
    <row r="70" ht="18" customHeight="1">
      <c r="A70" s="4" t="n"/>
      <c r="B70" s="4" t="n"/>
      <c r="C70" s="4" t="n"/>
      <c r="D70" s="4" t="n"/>
      <c r="E70" s="4" t="n"/>
      <c r="F70" s="4">
        <f>D70*E70</f>
        <v/>
      </c>
      <c r="G70" s="4" t="n"/>
      <c r="H70" s="4" t="n"/>
    </row>
    <row r="71" ht="18" customHeight="1">
      <c r="A71" s="3" t="n"/>
      <c r="B71" s="3" t="n"/>
      <c r="C71" s="3" t="n"/>
      <c r="D71" s="3" t="n"/>
      <c r="E71" s="3" t="n"/>
      <c r="F71" s="3">
        <f>D71*E71</f>
        <v/>
      </c>
      <c r="G71" s="3" t="n"/>
      <c r="H71" s="3" t="n"/>
    </row>
    <row r="72" ht="18" customHeight="1">
      <c r="A72" s="4" t="n"/>
      <c r="B72" s="4" t="n"/>
      <c r="C72" s="4" t="n"/>
      <c r="D72" s="4" t="n"/>
      <c r="E72" s="4" t="n"/>
      <c r="F72" s="4">
        <f>D72*E72</f>
        <v/>
      </c>
      <c r="G72" s="4" t="n"/>
      <c r="H72" s="4" t="n"/>
    </row>
    <row r="73" ht="18" customHeight="1">
      <c r="A73" s="3" t="n"/>
      <c r="B73" s="3" t="n"/>
      <c r="C73" s="3" t="n"/>
      <c r="D73" s="3" t="n"/>
      <c r="E73" s="3" t="n"/>
      <c r="F73" s="3">
        <f>D73*E73</f>
        <v/>
      </c>
      <c r="G73" s="3" t="n"/>
      <c r="H73" s="3" t="n"/>
    </row>
    <row r="74" ht="18" customHeight="1">
      <c r="A74" s="4" t="n"/>
      <c r="B74" s="4" t="n"/>
      <c r="C74" s="4" t="n"/>
      <c r="D74" s="4" t="n"/>
      <c r="E74" s="4" t="n"/>
      <c r="F74" s="4">
        <f>D74*E74</f>
        <v/>
      </c>
      <c r="G74" s="4" t="n"/>
      <c r="H74" s="4" t="n"/>
    </row>
    <row r="75" ht="18" customHeight="1">
      <c r="A75" s="3" t="n"/>
      <c r="B75" s="3" t="n"/>
      <c r="C75" s="3" t="n"/>
      <c r="D75" s="3" t="n"/>
      <c r="E75" s="3" t="n"/>
      <c r="F75" s="3">
        <f>D75*E75</f>
        <v/>
      </c>
      <c r="G75" s="3" t="n"/>
      <c r="H75" s="3" t="n"/>
    </row>
    <row r="76" ht="18" customHeight="1">
      <c r="A76" s="4" t="n"/>
      <c r="B76" s="4" t="n"/>
      <c r="C76" s="4" t="n"/>
      <c r="D76" s="4" t="n"/>
      <c r="E76" s="4" t="n"/>
      <c r="F76" s="4">
        <f>D76*E76</f>
        <v/>
      </c>
      <c r="G76" s="4" t="n"/>
      <c r="H76" s="4" t="n"/>
    </row>
    <row r="77" ht="18" customHeight="1">
      <c r="A77" s="3" t="n"/>
      <c r="B77" s="3" t="n"/>
      <c r="C77" s="3" t="n"/>
      <c r="D77" s="3" t="n"/>
      <c r="E77" s="3" t="n"/>
      <c r="F77" s="3">
        <f>D77*E77</f>
        <v/>
      </c>
      <c r="G77" s="3" t="n"/>
      <c r="H77" s="3" t="n"/>
    </row>
    <row r="78" ht="18" customHeight="1">
      <c r="A78" s="4" t="n"/>
      <c r="B78" s="4" t="n"/>
      <c r="C78" s="4" t="n"/>
      <c r="D78" s="4" t="n"/>
      <c r="E78" s="4" t="n"/>
      <c r="F78" s="4">
        <f>D78*E78</f>
        <v/>
      </c>
      <c r="G78" s="4" t="n"/>
      <c r="H78" s="4" t="n"/>
    </row>
    <row r="79" ht="18" customHeight="1">
      <c r="A79" s="3" t="n"/>
      <c r="B79" s="3" t="n"/>
      <c r="C79" s="3" t="n"/>
      <c r="D79" s="3" t="n"/>
      <c r="E79" s="3" t="n"/>
      <c r="F79" s="3">
        <f>D79*E79</f>
        <v/>
      </c>
      <c r="G79" s="3" t="n"/>
      <c r="H79" s="3" t="n"/>
    </row>
    <row r="80" ht="18" customHeight="1">
      <c r="A80" s="4" t="n"/>
      <c r="B80" s="4" t="n"/>
      <c r="C80" s="4" t="n"/>
      <c r="D80" s="4" t="n"/>
      <c r="E80" s="4" t="n"/>
      <c r="F80" s="4">
        <f>D80*E80</f>
        <v/>
      </c>
      <c r="G80" s="4" t="n"/>
      <c r="H80" s="4" t="n"/>
    </row>
    <row r="81" ht="18" customHeight="1">
      <c r="A81" s="3" t="n"/>
      <c r="B81" s="3" t="n"/>
      <c r="C81" s="3" t="n"/>
      <c r="D81" s="3" t="n"/>
      <c r="E81" s="3" t="n"/>
      <c r="F81" s="3">
        <f>D81*E81</f>
        <v/>
      </c>
      <c r="G81" s="3" t="n"/>
      <c r="H81" s="3" t="n"/>
    </row>
    <row r="82" ht="18" customHeight="1">
      <c r="A82" s="4" t="n"/>
      <c r="B82" s="4" t="n"/>
      <c r="C82" s="4" t="n"/>
      <c r="D82" s="4" t="n"/>
      <c r="E82" s="4" t="n"/>
      <c r="F82" s="4">
        <f>D82*E82</f>
        <v/>
      </c>
      <c r="G82" s="4" t="n"/>
      <c r="H82" s="4" t="n"/>
    </row>
    <row r="83" ht="18" customHeight="1">
      <c r="A83" s="3" t="n"/>
      <c r="B83" s="3" t="n"/>
      <c r="C83" s="3" t="n"/>
      <c r="D83" s="3" t="n"/>
      <c r="E83" s="3" t="n"/>
      <c r="F83" s="3">
        <f>D83*E83</f>
        <v/>
      </c>
      <c r="G83" s="3" t="n"/>
      <c r="H83" s="3" t="n"/>
    </row>
    <row r="84" ht="18" customHeight="1">
      <c r="A84" s="4" t="n"/>
      <c r="B84" s="4" t="n"/>
      <c r="C84" s="4" t="n"/>
      <c r="D84" s="4" t="n"/>
      <c r="E84" s="4" t="n"/>
      <c r="F84" s="4">
        <f>D84*E84</f>
        <v/>
      </c>
      <c r="G84" s="4" t="n"/>
      <c r="H84" s="4" t="n"/>
    </row>
    <row r="85" ht="18" customHeight="1">
      <c r="A85" s="3" t="n"/>
      <c r="B85" s="3" t="n"/>
      <c r="C85" s="3" t="n"/>
      <c r="D85" s="3" t="n"/>
      <c r="E85" s="3" t="n"/>
      <c r="F85" s="3">
        <f>D85*E85</f>
        <v/>
      </c>
      <c r="G85" s="3" t="n"/>
      <c r="H85" s="3" t="n"/>
    </row>
    <row r="86" ht="18" customHeight="1">
      <c r="A86" s="4" t="n"/>
      <c r="B86" s="4" t="n"/>
      <c r="C86" s="4" t="n"/>
      <c r="D86" s="4" t="n"/>
      <c r="E86" s="4" t="n"/>
      <c r="F86" s="4">
        <f>D86*E86</f>
        <v/>
      </c>
      <c r="G86" s="4" t="n"/>
      <c r="H86" s="4" t="n"/>
    </row>
    <row r="87" ht="18" customHeight="1">
      <c r="A87" s="3" t="n"/>
      <c r="B87" s="3" t="n"/>
      <c r="C87" s="3" t="n"/>
      <c r="D87" s="3" t="n"/>
      <c r="E87" s="3" t="n"/>
      <c r="F87" s="3">
        <f>D87*E87</f>
        <v/>
      </c>
      <c r="G87" s="3" t="n"/>
      <c r="H87" s="3" t="n"/>
    </row>
    <row r="88" ht="18" customHeight="1">
      <c r="A88" s="4" t="n"/>
      <c r="B88" s="4" t="n"/>
      <c r="C88" s="4" t="n"/>
      <c r="D88" s="4" t="n"/>
      <c r="E88" s="4" t="n"/>
      <c r="F88" s="4">
        <f>D88*E88</f>
        <v/>
      </c>
      <c r="G88" s="4" t="n"/>
      <c r="H88" s="4" t="n"/>
    </row>
    <row r="89" ht="18" customHeight="1">
      <c r="A89" s="3" t="n"/>
      <c r="B89" s="3" t="n"/>
      <c r="C89" s="3" t="n"/>
      <c r="D89" s="3" t="n"/>
      <c r="E89" s="3" t="n"/>
      <c r="F89" s="3">
        <f>D89*E89</f>
        <v/>
      </c>
      <c r="G89" s="3" t="n"/>
      <c r="H89" s="3" t="n"/>
    </row>
    <row r="90" ht="18" customHeight="1">
      <c r="A90" s="4" t="n"/>
      <c r="B90" s="4" t="n"/>
      <c r="C90" s="4" t="n"/>
      <c r="D90" s="4" t="n"/>
      <c r="E90" s="4" t="n"/>
      <c r="F90" s="4">
        <f>D90*E90</f>
        <v/>
      </c>
      <c r="G90" s="4" t="n"/>
      <c r="H90" s="4" t="n"/>
    </row>
    <row r="91" ht="18" customHeight="1">
      <c r="A91" s="3" t="n"/>
      <c r="B91" s="3" t="n"/>
      <c r="C91" s="3" t="n"/>
      <c r="D91" s="3" t="n"/>
      <c r="E91" s="3" t="n"/>
      <c r="F91" s="3">
        <f>D91*E91</f>
        <v/>
      </c>
      <c r="G91" s="3" t="n"/>
      <c r="H91" s="3" t="n"/>
    </row>
    <row r="92" ht="18" customHeight="1">
      <c r="A92" s="4" t="n"/>
      <c r="B92" s="4" t="n"/>
      <c r="C92" s="4" t="n"/>
      <c r="D92" s="4" t="n"/>
      <c r="E92" s="4" t="n"/>
      <c r="F92" s="4">
        <f>D92*E92</f>
        <v/>
      </c>
      <c r="G92" s="4" t="n"/>
      <c r="H92" s="4" t="n"/>
    </row>
    <row r="93" ht="18" customHeight="1">
      <c r="A93" s="3" t="n"/>
      <c r="B93" s="3" t="n"/>
      <c r="C93" s="3" t="n"/>
      <c r="D93" s="3" t="n"/>
      <c r="E93" s="3" t="n"/>
      <c r="F93" s="3">
        <f>D93*E93</f>
        <v/>
      </c>
      <c r="G93" s="3" t="n"/>
      <c r="H93" s="3" t="n"/>
    </row>
    <row r="94" ht="18" customHeight="1">
      <c r="A94" s="4" t="n"/>
      <c r="B94" s="4" t="n"/>
      <c r="C94" s="4" t="n"/>
      <c r="D94" s="4" t="n"/>
      <c r="E94" s="4" t="n"/>
      <c r="F94" s="4">
        <f>D94*E94</f>
        <v/>
      </c>
      <c r="G94" s="4" t="n"/>
      <c r="H94" s="4" t="n"/>
    </row>
    <row r="95" ht="18" customHeight="1">
      <c r="A95" s="3" t="n"/>
      <c r="B95" s="3" t="n"/>
      <c r="C95" s="3" t="n"/>
      <c r="D95" s="3" t="n"/>
      <c r="E95" s="3" t="n"/>
      <c r="F95" s="3">
        <f>D95*E95</f>
        <v/>
      </c>
      <c r="G95" s="3" t="n"/>
      <c r="H95" s="3" t="n"/>
    </row>
    <row r="96" ht="18" customHeight="1">
      <c r="A96" s="4" t="n"/>
      <c r="B96" s="4" t="n"/>
      <c r="C96" s="4" t="n"/>
      <c r="D96" s="4" t="n"/>
      <c r="E96" s="4" t="n"/>
      <c r="F96" s="4">
        <f>D96*E96</f>
        <v/>
      </c>
      <c r="G96" s="4" t="n"/>
      <c r="H96" s="4" t="n"/>
    </row>
    <row r="97" ht="18" customHeight="1">
      <c r="A97" s="3" t="n"/>
      <c r="B97" s="3" t="n"/>
      <c r="C97" s="3" t="n"/>
      <c r="D97" s="3" t="n"/>
      <c r="E97" s="3" t="n"/>
      <c r="F97" s="3">
        <f>D97*E97</f>
        <v/>
      </c>
      <c r="G97" s="3" t="n"/>
      <c r="H97" s="3" t="n"/>
    </row>
    <row r="98" ht="18" customHeight="1">
      <c r="A98" s="4" t="n"/>
      <c r="B98" s="4" t="n"/>
      <c r="C98" s="4" t="n"/>
      <c r="D98" s="4" t="n"/>
      <c r="E98" s="4" t="n"/>
      <c r="F98" s="4">
        <f>D98*E98</f>
        <v/>
      </c>
      <c r="G98" s="4" t="n"/>
      <c r="H98" s="4" t="n"/>
    </row>
    <row r="99" ht="18" customHeight="1">
      <c r="A99" s="3" t="n"/>
      <c r="B99" s="3" t="n"/>
      <c r="C99" s="3" t="n"/>
      <c r="D99" s="3" t="n"/>
      <c r="E99" s="3" t="n"/>
      <c r="F99" s="3">
        <f>D99*E99</f>
        <v/>
      </c>
      <c r="G99" s="3" t="n"/>
      <c r="H99" s="3" t="n"/>
    </row>
    <row r="100" ht="18" customHeight="1">
      <c r="A100" s="4" t="n"/>
      <c r="B100" s="4" t="n"/>
      <c r="C100" s="4" t="n"/>
      <c r="D100" s="4" t="n"/>
      <c r="E100" s="4" t="n"/>
      <c r="F100" s="4">
        <f>D100*E100</f>
        <v/>
      </c>
      <c r="G100" s="4" t="n"/>
      <c r="H100" s="4" t="n"/>
    </row>
    <row r="101" ht="18" customHeight="1">
      <c r="A101" s="3" t="n"/>
      <c r="B101" s="3" t="n"/>
      <c r="C101" s="3" t="n"/>
      <c r="D101" s="3" t="n"/>
      <c r="E101" s="3" t="n"/>
      <c r="F101" s="3">
        <f>D101*E101</f>
        <v/>
      </c>
      <c r="G101" s="3" t="n"/>
      <c r="H101" s="3" t="n"/>
    </row>
    <row r="102" ht="18" customHeight="1">
      <c r="A102" s="4" t="n"/>
      <c r="B102" s="4" t="n"/>
      <c r="C102" s="4" t="n"/>
      <c r="D102" s="4" t="n"/>
      <c r="E102" s="4" t="n"/>
      <c r="F102" s="4">
        <f>D102*E102</f>
        <v/>
      </c>
      <c r="G102" s="4" t="n"/>
      <c r="H102" s="4" t="n"/>
    </row>
    <row r="103" ht="18" customHeight="1">
      <c r="A103" s="3" t="n"/>
      <c r="B103" s="3" t="n"/>
      <c r="C103" s="3" t="n"/>
      <c r="D103" s="3" t="n"/>
      <c r="E103" s="3" t="n"/>
      <c r="F103" s="3">
        <f>D103*E103</f>
        <v/>
      </c>
      <c r="G103" s="3" t="n"/>
      <c r="H103" s="3" t="n"/>
    </row>
    <row r="104" ht="18" customHeight="1">
      <c r="A104" s="4" t="n"/>
      <c r="B104" s="4" t="n"/>
      <c r="C104" s="4" t="n"/>
      <c r="D104" s="4" t="n"/>
      <c r="E104" s="4" t="n"/>
      <c r="F104" s="4">
        <f>D104*E104</f>
        <v/>
      </c>
      <c r="G104" s="4" t="n"/>
      <c r="H104" s="4" t="n"/>
    </row>
    <row r="105" ht="18" customHeight="1">
      <c r="A105" s="3" t="n"/>
      <c r="B105" s="3" t="n"/>
      <c r="C105" s="3" t="n"/>
      <c r="D105" s="3" t="n"/>
      <c r="E105" s="3" t="n"/>
      <c r="F105" s="3">
        <f>D105*E105</f>
        <v/>
      </c>
      <c r="G105" s="3" t="n"/>
      <c r="H105" s="3" t="n"/>
    </row>
    <row r="106" ht="18" customHeight="1">
      <c r="A106" s="4" t="n"/>
      <c r="B106" s="4" t="n"/>
      <c r="C106" s="4" t="n"/>
      <c r="D106" s="4" t="n"/>
      <c r="E106" s="4" t="n"/>
      <c r="F106" s="4">
        <f>D106*E106</f>
        <v/>
      </c>
      <c r="G106" s="4" t="n"/>
      <c r="H106" s="4" t="n"/>
    </row>
    <row r="107" ht="18" customHeight="1">
      <c r="A107" s="3" t="n"/>
      <c r="B107" s="3" t="n"/>
      <c r="C107" s="3" t="n"/>
      <c r="D107" s="3" t="n"/>
      <c r="E107" s="3" t="n"/>
      <c r="F107" s="3">
        <f>D107*E107</f>
        <v/>
      </c>
      <c r="G107" s="3" t="n"/>
      <c r="H107" s="3" t="n"/>
    </row>
    <row r="108" ht="18" customHeight="1">
      <c r="A108" s="4" t="n"/>
      <c r="B108" s="4" t="n"/>
      <c r="C108" s="4" t="n"/>
      <c r="D108" s="4" t="n"/>
      <c r="E108" s="4" t="n"/>
      <c r="F108" s="4">
        <f>D108*E108</f>
        <v/>
      </c>
      <c r="G108" s="4" t="n"/>
      <c r="H108" s="4" t="n"/>
    </row>
    <row r="109" ht="18" customHeight="1">
      <c r="A109" s="3" t="n"/>
      <c r="B109" s="3" t="n"/>
      <c r="C109" s="3" t="n"/>
      <c r="D109" s="3" t="n"/>
      <c r="E109" s="3" t="n"/>
      <c r="F109" s="3">
        <f>D109*E109</f>
        <v/>
      </c>
      <c r="G109" s="3" t="n"/>
      <c r="H109" s="3" t="n"/>
    </row>
    <row r="110" ht="18" customHeight="1">
      <c r="A110" s="4" t="n"/>
      <c r="B110" s="4" t="n"/>
      <c r="C110" s="4" t="n"/>
      <c r="D110" s="4" t="n"/>
      <c r="E110" s="4" t="n"/>
      <c r="F110" s="4">
        <f>D110*E110</f>
        <v/>
      </c>
      <c r="G110" s="4" t="n"/>
      <c r="H110" s="4" t="n"/>
    </row>
    <row r="111" ht="18" customHeight="1">
      <c r="A111" s="3" t="n"/>
      <c r="B111" s="3" t="n"/>
      <c r="C111" s="3" t="n"/>
      <c r="D111" s="3" t="n"/>
      <c r="E111" s="3" t="n"/>
      <c r="F111" s="3">
        <f>D111*E111</f>
        <v/>
      </c>
      <c r="G111" s="3" t="n"/>
      <c r="H111" s="3" t="n"/>
    </row>
    <row r="112" ht="18" customHeight="1">
      <c r="A112" s="4" t="n"/>
      <c r="B112" s="4" t="n"/>
      <c r="C112" s="4" t="n"/>
      <c r="D112" s="4" t="n"/>
      <c r="E112" s="4" t="n"/>
      <c r="F112" s="4">
        <f>D112*E112</f>
        <v/>
      </c>
      <c r="G112" s="4" t="n"/>
      <c r="H112" s="4" t="n"/>
    </row>
    <row r="113" ht="18" customHeight="1">
      <c r="A113" s="3" t="n"/>
      <c r="B113" s="3" t="n"/>
      <c r="C113" s="3" t="n"/>
      <c r="D113" s="3" t="n"/>
      <c r="E113" s="3" t="n"/>
      <c r="F113" s="3">
        <f>D113*E113</f>
        <v/>
      </c>
      <c r="G113" s="3" t="n"/>
      <c r="H113" s="3" t="n"/>
    </row>
    <row r="114" ht="18" customHeight="1">
      <c r="A114" s="4" t="n"/>
      <c r="B114" s="4" t="n"/>
      <c r="C114" s="4" t="n"/>
      <c r="D114" s="4" t="n"/>
      <c r="E114" s="4" t="n"/>
      <c r="F114" s="4">
        <f>D114*E114</f>
        <v/>
      </c>
      <c r="G114" s="4" t="n"/>
      <c r="H114" s="4" t="n"/>
    </row>
    <row r="115" ht="18" customHeight="1">
      <c r="A115" s="3" t="n"/>
      <c r="B115" s="3" t="n"/>
      <c r="C115" s="3" t="n"/>
      <c r="D115" s="3" t="n"/>
      <c r="E115" s="3" t="n"/>
      <c r="F115" s="3">
        <f>D115*E115</f>
        <v/>
      </c>
      <c r="G115" s="3" t="n"/>
      <c r="H115" s="3" t="n"/>
    </row>
    <row r="116" ht="18" customHeight="1">
      <c r="A116" s="4" t="n"/>
      <c r="B116" s="4" t="n"/>
      <c r="C116" s="4" t="n"/>
      <c r="D116" s="4" t="n"/>
      <c r="E116" s="4" t="n"/>
      <c r="F116" s="4">
        <f>D116*E116</f>
        <v/>
      </c>
      <c r="G116" s="4" t="n"/>
      <c r="H116" s="4" t="n"/>
    </row>
    <row r="117" ht="18" customHeight="1">
      <c r="A117" s="3" t="n"/>
      <c r="B117" s="3" t="n"/>
      <c r="C117" s="3" t="n"/>
      <c r="D117" s="3" t="n"/>
      <c r="E117" s="3" t="n"/>
      <c r="F117" s="3">
        <f>D117*E117</f>
        <v/>
      </c>
      <c r="G117" s="3" t="n"/>
      <c r="H117" s="3" t="n"/>
    </row>
    <row r="118" ht="18" customHeight="1">
      <c r="A118" s="4" t="n"/>
      <c r="B118" s="4" t="n"/>
      <c r="C118" s="4" t="n"/>
      <c r="D118" s="4" t="n"/>
      <c r="E118" s="4" t="n"/>
      <c r="F118" s="4">
        <f>D118*E118</f>
        <v/>
      </c>
      <c r="G118" s="4" t="n"/>
      <c r="H118" s="4" t="n"/>
    </row>
    <row r="119" ht="18" customHeight="1">
      <c r="A119" s="3" t="n"/>
      <c r="B119" s="3" t="n"/>
      <c r="C119" s="3" t="n"/>
      <c r="D119" s="3" t="n"/>
      <c r="E119" s="3" t="n"/>
      <c r="F119" s="3">
        <f>D119*E119</f>
        <v/>
      </c>
      <c r="G119" s="3" t="n"/>
      <c r="H119" s="3" t="n"/>
    </row>
    <row r="120" ht="18" customHeight="1">
      <c r="A120" s="4" t="n"/>
      <c r="B120" s="4" t="n"/>
      <c r="C120" s="4" t="n"/>
      <c r="D120" s="4" t="n"/>
      <c r="E120" s="4" t="n"/>
      <c r="F120" s="4">
        <f>D120*E120</f>
        <v/>
      </c>
      <c r="G120" s="4" t="n"/>
      <c r="H120" s="4" t="n"/>
    </row>
    <row r="121" ht="18" customHeight="1">
      <c r="A121" s="3" t="n"/>
      <c r="B121" s="3" t="n"/>
      <c r="C121" s="3" t="n"/>
      <c r="D121" s="3" t="n"/>
      <c r="E121" s="3" t="n"/>
      <c r="F121" s="3">
        <f>D121*E121</f>
        <v/>
      </c>
      <c r="G121" s="3" t="n"/>
      <c r="H121" s="3" t="n"/>
    </row>
    <row r="122" ht="18" customHeight="1">
      <c r="A122" s="4" t="n"/>
      <c r="B122" s="4" t="n"/>
      <c r="C122" s="4" t="n"/>
      <c r="D122" s="4" t="n"/>
      <c r="E122" s="4" t="n"/>
      <c r="F122" s="4">
        <f>D122*E122</f>
        <v/>
      </c>
      <c r="G122" s="4" t="n"/>
      <c r="H122" s="4" t="n"/>
    </row>
    <row r="123" ht="18" customHeight="1">
      <c r="A123" s="3" t="n"/>
      <c r="B123" s="3" t="n"/>
      <c r="C123" s="3" t="n"/>
      <c r="D123" s="3" t="n"/>
      <c r="E123" s="3" t="n"/>
      <c r="F123" s="3">
        <f>D123*E123</f>
        <v/>
      </c>
      <c r="G123" s="3" t="n"/>
      <c r="H123" s="3" t="n"/>
    </row>
    <row r="124" ht="18" customHeight="1">
      <c r="A124" s="4" t="n"/>
      <c r="B124" s="4" t="n"/>
      <c r="C124" s="4" t="n"/>
      <c r="D124" s="4" t="n"/>
      <c r="E124" s="4" t="n"/>
      <c r="F124" s="4">
        <f>D124*E124</f>
        <v/>
      </c>
      <c r="G124" s="4" t="n"/>
      <c r="H124" s="4" t="n"/>
    </row>
    <row r="125" ht="18" customHeight="1">
      <c r="A125" s="3" t="n"/>
      <c r="B125" s="3" t="n"/>
      <c r="C125" s="3" t="n"/>
      <c r="D125" s="3" t="n"/>
      <c r="E125" s="3" t="n"/>
      <c r="F125" s="3">
        <f>D125*E125</f>
        <v/>
      </c>
      <c r="G125" s="3" t="n"/>
      <c r="H125" s="3" t="n"/>
    </row>
    <row r="126" ht="18" customHeight="1">
      <c r="A126" s="4" t="n"/>
      <c r="B126" s="4" t="n"/>
      <c r="C126" s="4" t="n"/>
      <c r="D126" s="4" t="n"/>
      <c r="E126" s="4" t="n"/>
      <c r="F126" s="4">
        <f>D126*E126</f>
        <v/>
      </c>
      <c r="G126" s="4" t="n"/>
      <c r="H126" s="4" t="n"/>
    </row>
    <row r="127" ht="18" customHeight="1">
      <c r="A127" s="3" t="n"/>
      <c r="B127" s="3" t="n"/>
      <c r="C127" s="3" t="n"/>
      <c r="D127" s="3" t="n"/>
      <c r="E127" s="3" t="n"/>
      <c r="F127" s="3">
        <f>D127*E127</f>
        <v/>
      </c>
      <c r="G127" s="3" t="n"/>
      <c r="H127" s="3" t="n"/>
    </row>
    <row r="128" ht="18" customHeight="1">
      <c r="A128" s="4" t="n"/>
      <c r="B128" s="4" t="n"/>
      <c r="C128" s="4" t="n"/>
      <c r="D128" s="4" t="n"/>
      <c r="E128" s="4" t="n"/>
      <c r="F128" s="4">
        <f>D128*E128</f>
        <v/>
      </c>
      <c r="G128" s="4" t="n"/>
      <c r="H128" s="4" t="n"/>
    </row>
    <row r="129" ht="18" customHeight="1">
      <c r="A129" s="3" t="n"/>
      <c r="B129" s="3" t="n"/>
      <c r="C129" s="3" t="n"/>
      <c r="D129" s="3" t="n"/>
      <c r="E129" s="3" t="n"/>
      <c r="F129" s="3">
        <f>D129*E129</f>
        <v/>
      </c>
      <c r="G129" s="3" t="n"/>
      <c r="H129" s="3" t="n"/>
    </row>
    <row r="130" ht="18" customHeight="1">
      <c r="A130" s="4" t="n"/>
      <c r="B130" s="4" t="n"/>
      <c r="C130" s="4" t="n"/>
      <c r="D130" s="4" t="n"/>
      <c r="E130" s="4" t="n"/>
      <c r="F130" s="4">
        <f>D130*E130</f>
        <v/>
      </c>
      <c r="G130" s="4" t="n"/>
      <c r="H130" s="4" t="n"/>
    </row>
    <row r="131" ht="18" customHeight="1">
      <c r="A131" s="3" t="n"/>
      <c r="B131" s="3" t="n"/>
      <c r="C131" s="3" t="n"/>
      <c r="D131" s="3" t="n"/>
      <c r="E131" s="3" t="n"/>
      <c r="F131" s="3">
        <f>D131*E131</f>
        <v/>
      </c>
      <c r="G131" s="3" t="n"/>
      <c r="H131" s="3" t="n"/>
    </row>
    <row r="132" ht="18" customHeight="1">
      <c r="A132" s="4" t="n"/>
      <c r="B132" s="4" t="n"/>
      <c r="C132" s="4" t="n"/>
      <c r="D132" s="4" t="n"/>
      <c r="E132" s="4" t="n"/>
      <c r="F132" s="4">
        <f>D132*E132</f>
        <v/>
      </c>
      <c r="G132" s="4" t="n"/>
      <c r="H132" s="4" t="n"/>
    </row>
    <row r="133" ht="18" customHeight="1">
      <c r="A133" s="3" t="n"/>
      <c r="B133" s="3" t="n"/>
      <c r="C133" s="3" t="n"/>
      <c r="D133" s="3" t="n"/>
      <c r="E133" s="3" t="n"/>
      <c r="F133" s="3">
        <f>D133*E133</f>
        <v/>
      </c>
      <c r="G133" s="3" t="n"/>
      <c r="H133" s="3" t="n"/>
    </row>
    <row r="134" ht="18" customHeight="1">
      <c r="A134" s="4" t="n"/>
      <c r="B134" s="4" t="n"/>
      <c r="C134" s="4" t="n"/>
      <c r="D134" s="4" t="n"/>
      <c r="E134" s="4" t="n"/>
      <c r="F134" s="4">
        <f>D134*E134</f>
        <v/>
      </c>
      <c r="G134" s="4" t="n"/>
      <c r="H134" s="4" t="n"/>
    </row>
    <row r="135" ht="18" customHeight="1">
      <c r="A135" s="3" t="n"/>
      <c r="B135" s="3" t="n"/>
      <c r="C135" s="3" t="n"/>
      <c r="D135" s="3" t="n"/>
      <c r="E135" s="3" t="n"/>
      <c r="F135" s="3">
        <f>D135*E135</f>
        <v/>
      </c>
      <c r="G135" s="3" t="n"/>
      <c r="H135" s="3" t="n"/>
    </row>
    <row r="136" ht="18" customHeight="1">
      <c r="A136" s="4" t="n"/>
      <c r="B136" s="4" t="n"/>
      <c r="C136" s="4" t="n"/>
      <c r="D136" s="4" t="n"/>
      <c r="E136" s="4" t="n"/>
      <c r="F136" s="4">
        <f>D136*E136</f>
        <v/>
      </c>
      <c r="G136" s="4" t="n"/>
      <c r="H136" s="4" t="n"/>
    </row>
    <row r="137" ht="18" customHeight="1">
      <c r="A137" s="3" t="n"/>
      <c r="B137" s="3" t="n"/>
      <c r="C137" s="3" t="n"/>
      <c r="D137" s="3" t="n"/>
      <c r="E137" s="3" t="n"/>
      <c r="F137" s="3">
        <f>D137*E137</f>
        <v/>
      </c>
      <c r="G137" s="3" t="n"/>
      <c r="H137" s="3" t="n"/>
    </row>
    <row r="138" ht="18" customHeight="1">
      <c r="A138" s="4" t="n"/>
      <c r="B138" s="4" t="n"/>
      <c r="C138" s="4" t="n"/>
      <c r="D138" s="4" t="n"/>
      <c r="E138" s="4" t="n"/>
      <c r="F138" s="4">
        <f>D138*E138</f>
        <v/>
      </c>
      <c r="G138" s="4" t="n"/>
      <c r="H138" s="4" t="n"/>
    </row>
    <row r="139" ht="18" customHeight="1">
      <c r="A139" s="3" t="n"/>
      <c r="B139" s="3" t="n"/>
      <c r="C139" s="3" t="n"/>
      <c r="D139" s="3" t="n"/>
      <c r="E139" s="3" t="n"/>
      <c r="F139" s="3">
        <f>D139*E139</f>
        <v/>
      </c>
      <c r="G139" s="3" t="n"/>
      <c r="H139" s="3" t="n"/>
    </row>
    <row r="140" ht="18" customHeight="1">
      <c r="A140" s="4" t="n"/>
      <c r="B140" s="4" t="n"/>
      <c r="C140" s="4" t="n"/>
      <c r="D140" s="4" t="n"/>
      <c r="E140" s="4" t="n"/>
      <c r="F140" s="4">
        <f>D140*E140</f>
        <v/>
      </c>
      <c r="G140" s="4" t="n"/>
      <c r="H140" s="4" t="n"/>
    </row>
    <row r="141" ht="18" customHeight="1">
      <c r="A141" s="3" t="n"/>
      <c r="B141" s="3" t="n"/>
      <c r="C141" s="3" t="n"/>
      <c r="D141" s="3" t="n"/>
      <c r="E141" s="3" t="n"/>
      <c r="F141" s="3">
        <f>D141*E141</f>
        <v/>
      </c>
      <c r="G141" s="3" t="n"/>
      <c r="H141" s="3" t="n"/>
    </row>
    <row r="142" ht="18" customHeight="1">
      <c r="A142" s="4" t="n"/>
      <c r="B142" s="4" t="n"/>
      <c r="C142" s="4" t="n"/>
      <c r="D142" s="4" t="n"/>
      <c r="E142" s="4" t="n"/>
      <c r="F142" s="4">
        <f>D142*E142</f>
        <v/>
      </c>
      <c r="G142" s="4" t="n"/>
      <c r="H142" s="4" t="n"/>
    </row>
    <row r="143" ht="18" customHeight="1">
      <c r="A143" s="3" t="n"/>
      <c r="B143" s="3" t="n"/>
      <c r="C143" s="3" t="n"/>
      <c r="D143" s="3" t="n"/>
      <c r="E143" s="3" t="n"/>
      <c r="F143" s="3">
        <f>D143*E143</f>
        <v/>
      </c>
      <c r="G143" s="3" t="n"/>
      <c r="H143" s="3" t="n"/>
    </row>
    <row r="144" ht="18" customHeight="1">
      <c r="A144" s="4" t="n"/>
      <c r="B144" s="4" t="n"/>
      <c r="C144" s="4" t="n"/>
      <c r="D144" s="4" t="n"/>
      <c r="E144" s="4" t="n"/>
      <c r="F144" s="4">
        <f>D144*E144</f>
        <v/>
      </c>
      <c r="G144" s="4" t="n"/>
      <c r="H144" s="4" t="n"/>
    </row>
    <row r="145" ht="18" customHeight="1">
      <c r="A145" s="3" t="n"/>
      <c r="B145" s="3" t="n"/>
      <c r="C145" s="3" t="n"/>
      <c r="D145" s="3" t="n"/>
      <c r="E145" s="3" t="n"/>
      <c r="F145" s="3">
        <f>D145*E145</f>
        <v/>
      </c>
      <c r="G145" s="3" t="n"/>
      <c r="H145" s="3" t="n"/>
    </row>
    <row r="146" ht="18" customHeight="1">
      <c r="A146" s="4" t="n"/>
      <c r="B146" s="4" t="n"/>
      <c r="C146" s="4" t="n"/>
      <c r="D146" s="4" t="n"/>
      <c r="E146" s="4" t="n"/>
      <c r="F146" s="4">
        <f>D146*E146</f>
        <v/>
      </c>
      <c r="G146" s="4" t="n"/>
      <c r="H146" s="4" t="n"/>
    </row>
    <row r="147" ht="18" customHeight="1">
      <c r="A147" s="3" t="n"/>
      <c r="B147" s="3" t="n"/>
      <c r="C147" s="3" t="n"/>
      <c r="D147" s="3" t="n"/>
      <c r="E147" s="3" t="n"/>
      <c r="F147" s="3">
        <f>D147*E147</f>
        <v/>
      </c>
      <c r="G147" s="3" t="n"/>
      <c r="H147" s="3" t="n"/>
    </row>
    <row r="148" ht="18" customHeight="1">
      <c r="A148" s="4" t="n"/>
      <c r="B148" s="4" t="n"/>
      <c r="C148" s="4" t="n"/>
      <c r="D148" s="4" t="n"/>
      <c r="E148" s="4" t="n"/>
      <c r="F148" s="4">
        <f>D148*E148</f>
        <v/>
      </c>
      <c r="G148" s="4" t="n"/>
      <c r="H148" s="4" t="n"/>
    </row>
    <row r="149" ht="18" customHeight="1">
      <c r="A149" s="3" t="n"/>
      <c r="B149" s="3" t="n"/>
      <c r="C149" s="3" t="n"/>
      <c r="D149" s="3" t="n"/>
      <c r="E149" s="3" t="n"/>
      <c r="F149" s="3">
        <f>D149*E149</f>
        <v/>
      </c>
      <c r="G149" s="3" t="n"/>
      <c r="H149" s="3" t="n"/>
    </row>
    <row r="150" ht="18" customHeight="1">
      <c r="A150" s="4" t="n"/>
      <c r="B150" s="4" t="n"/>
      <c r="C150" s="4" t="n"/>
      <c r="D150" s="4" t="n"/>
      <c r="E150" s="4" t="n"/>
      <c r="F150" s="4">
        <f>D150*E150</f>
        <v/>
      </c>
      <c r="G150" s="4" t="n"/>
      <c r="H150" s="4" t="n"/>
    </row>
    <row r="151" ht="18" customHeight="1">
      <c r="A151" s="3" t="n"/>
      <c r="B151" s="3" t="n"/>
      <c r="C151" s="3" t="n"/>
      <c r="D151" s="3" t="n"/>
      <c r="E151" s="3" t="n"/>
      <c r="F151" s="3">
        <f>D151*E151</f>
        <v/>
      </c>
      <c r="G151" s="3" t="n"/>
      <c r="H151" s="3" t="n"/>
    </row>
    <row r="152" ht="18" customHeight="1">
      <c r="A152" s="4" t="n"/>
      <c r="B152" s="4" t="n"/>
      <c r="C152" s="4" t="n"/>
      <c r="D152" s="4" t="n"/>
      <c r="E152" s="4" t="n"/>
      <c r="F152" s="4">
        <f>D152*E152</f>
        <v/>
      </c>
      <c r="G152" s="4" t="n"/>
      <c r="H152" s="4" t="n"/>
    </row>
    <row r="153" ht="18" customHeight="1">
      <c r="A153" s="3" t="n"/>
      <c r="B153" s="3" t="n"/>
      <c r="C153" s="3" t="n"/>
      <c r="D153" s="3" t="n"/>
      <c r="E153" s="3" t="n"/>
      <c r="F153" s="3">
        <f>D153*E153</f>
        <v/>
      </c>
      <c r="G153" s="3" t="n"/>
      <c r="H153" s="3" t="n"/>
    </row>
    <row r="154" ht="18" customHeight="1">
      <c r="A154" s="4" t="n"/>
      <c r="B154" s="4" t="n"/>
      <c r="C154" s="4" t="n"/>
      <c r="D154" s="4" t="n"/>
      <c r="E154" s="4" t="n"/>
      <c r="F154" s="4">
        <f>D154*E154</f>
        <v/>
      </c>
      <c r="G154" s="4" t="n"/>
      <c r="H154" s="4" t="n"/>
    </row>
    <row r="155" ht="18" customHeight="1">
      <c r="A155" s="3" t="n"/>
      <c r="B155" s="3" t="n"/>
      <c r="C155" s="3" t="n"/>
      <c r="D155" s="3" t="n"/>
      <c r="E155" s="3" t="n"/>
      <c r="F155" s="3">
        <f>D155*E155</f>
        <v/>
      </c>
      <c r="G155" s="3" t="n"/>
      <c r="H155" s="3" t="n"/>
    </row>
    <row r="156" ht="18" customHeight="1">
      <c r="A156" s="4" t="n"/>
      <c r="B156" s="4" t="n"/>
      <c r="C156" s="4" t="n"/>
      <c r="D156" s="4" t="n"/>
      <c r="E156" s="4" t="n"/>
      <c r="F156" s="4">
        <f>D156*E156</f>
        <v/>
      </c>
      <c r="G156" s="4" t="n"/>
      <c r="H156" s="4" t="n"/>
    </row>
    <row r="157" ht="18" customHeight="1">
      <c r="A157" s="3" t="n"/>
      <c r="B157" s="3" t="n"/>
      <c r="C157" s="3" t="n"/>
      <c r="D157" s="3" t="n"/>
      <c r="E157" s="3" t="n"/>
      <c r="F157" s="3">
        <f>D157*E157</f>
        <v/>
      </c>
      <c r="G157" s="3" t="n"/>
      <c r="H157" s="3" t="n"/>
    </row>
    <row r="158" ht="18" customHeight="1">
      <c r="A158" s="4" t="n"/>
      <c r="B158" s="4" t="n"/>
      <c r="C158" s="4" t="n"/>
      <c r="D158" s="4" t="n"/>
      <c r="E158" s="4" t="n"/>
      <c r="F158" s="4">
        <f>D158*E158</f>
        <v/>
      </c>
      <c r="G158" s="4" t="n"/>
      <c r="H158" s="4" t="n"/>
    </row>
    <row r="159" ht="18" customHeight="1">
      <c r="A159" s="3" t="n"/>
      <c r="B159" s="3" t="n"/>
      <c r="C159" s="3" t="n"/>
      <c r="D159" s="3" t="n"/>
      <c r="E159" s="3" t="n"/>
      <c r="F159" s="3">
        <f>D159*E159</f>
        <v/>
      </c>
      <c r="G159" s="3" t="n"/>
      <c r="H159" s="3" t="n"/>
    </row>
    <row r="160" ht="18" customHeight="1">
      <c r="A160" s="4" t="n"/>
      <c r="B160" s="4" t="n"/>
      <c r="C160" s="4" t="n"/>
      <c r="D160" s="4" t="n"/>
      <c r="E160" s="4" t="n"/>
      <c r="F160" s="4">
        <f>D160*E160</f>
        <v/>
      </c>
      <c r="G160" s="4" t="n"/>
      <c r="H160" s="4" t="n"/>
    </row>
    <row r="161" ht="18" customHeight="1">
      <c r="A161" s="3" t="n"/>
      <c r="B161" s="3" t="n"/>
      <c r="C161" s="3" t="n"/>
      <c r="D161" s="3" t="n"/>
      <c r="E161" s="3" t="n"/>
      <c r="F161" s="3">
        <f>D161*E161</f>
        <v/>
      </c>
      <c r="G161" s="3" t="n"/>
      <c r="H161" s="3" t="n"/>
    </row>
    <row r="162" ht="18" customHeight="1">
      <c r="A162" s="4" t="n"/>
      <c r="B162" s="4" t="n"/>
      <c r="C162" s="4" t="n"/>
      <c r="D162" s="4" t="n"/>
      <c r="E162" s="4" t="n"/>
      <c r="F162" s="4">
        <f>D162*E162</f>
        <v/>
      </c>
      <c r="G162" s="4" t="n"/>
      <c r="H162" s="4" t="n"/>
    </row>
    <row r="163" ht="18" customHeight="1">
      <c r="A163" s="3" t="n"/>
      <c r="B163" s="3" t="n"/>
      <c r="C163" s="3" t="n"/>
      <c r="D163" s="3" t="n"/>
      <c r="E163" s="3" t="n"/>
      <c r="F163" s="3">
        <f>D163*E163</f>
        <v/>
      </c>
      <c r="G163" s="3" t="n"/>
      <c r="H163" s="3" t="n"/>
    </row>
    <row r="164" ht="18" customHeight="1">
      <c r="A164" s="4" t="n"/>
      <c r="B164" s="4" t="n"/>
      <c r="C164" s="4" t="n"/>
      <c r="D164" s="4" t="n"/>
      <c r="E164" s="4" t="n"/>
      <c r="F164" s="4">
        <f>D164*E164</f>
        <v/>
      </c>
      <c r="G164" s="4" t="n"/>
      <c r="H164" s="4" t="n"/>
    </row>
    <row r="165" ht="18" customHeight="1">
      <c r="A165" s="3" t="n"/>
      <c r="B165" s="3" t="n"/>
      <c r="C165" s="3" t="n"/>
      <c r="D165" s="3" t="n"/>
      <c r="E165" s="3" t="n"/>
      <c r="F165" s="3">
        <f>D165*E165</f>
        <v/>
      </c>
      <c r="G165" s="3" t="n"/>
      <c r="H165" s="3" t="n"/>
    </row>
    <row r="166" ht="18" customHeight="1">
      <c r="A166" s="4" t="n"/>
      <c r="B166" s="4" t="n"/>
      <c r="C166" s="4" t="n"/>
      <c r="D166" s="4" t="n"/>
      <c r="E166" s="4" t="n"/>
      <c r="F166" s="4">
        <f>D166*E166</f>
        <v/>
      </c>
      <c r="G166" s="4" t="n"/>
      <c r="H166" s="4" t="n"/>
    </row>
    <row r="167" ht="18" customHeight="1">
      <c r="A167" s="3" t="n"/>
      <c r="B167" s="3" t="n"/>
      <c r="C167" s="3" t="n"/>
      <c r="D167" s="3" t="n"/>
      <c r="E167" s="3" t="n"/>
      <c r="F167" s="3">
        <f>D167*E167</f>
        <v/>
      </c>
      <c r="G167" s="3" t="n"/>
      <c r="H167" s="3" t="n"/>
    </row>
    <row r="168" ht="18" customHeight="1">
      <c r="A168" s="4" t="n"/>
      <c r="B168" s="4" t="n"/>
      <c r="C168" s="4" t="n"/>
      <c r="D168" s="4" t="n"/>
      <c r="E168" s="4" t="n"/>
      <c r="F168" s="4">
        <f>D168*E168</f>
        <v/>
      </c>
      <c r="G168" s="4" t="n"/>
      <c r="H168" s="4" t="n"/>
    </row>
    <row r="169" ht="18" customHeight="1">
      <c r="A169" s="3" t="n"/>
      <c r="B169" s="3" t="n"/>
      <c r="C169" s="3" t="n"/>
      <c r="D169" s="3" t="n"/>
      <c r="E169" s="3" t="n"/>
      <c r="F169" s="3">
        <f>D169*E169</f>
        <v/>
      </c>
      <c r="G169" s="3" t="n"/>
      <c r="H169" s="3" t="n"/>
    </row>
    <row r="170" ht="18" customHeight="1">
      <c r="A170" s="4" t="n"/>
      <c r="B170" s="4" t="n"/>
      <c r="C170" s="4" t="n"/>
      <c r="D170" s="4" t="n"/>
      <c r="E170" s="4" t="n"/>
      <c r="F170" s="4">
        <f>D170*E170</f>
        <v/>
      </c>
      <c r="G170" s="4" t="n"/>
      <c r="H170" s="4" t="n"/>
    </row>
    <row r="171" ht="18" customHeight="1">
      <c r="A171" s="3" t="n"/>
      <c r="B171" s="3" t="n"/>
      <c r="C171" s="3" t="n"/>
      <c r="D171" s="3" t="n"/>
      <c r="E171" s="3" t="n"/>
      <c r="F171" s="3">
        <f>D171*E171</f>
        <v/>
      </c>
      <c r="G171" s="3" t="n"/>
      <c r="H171" s="3" t="n"/>
    </row>
    <row r="172" ht="18" customHeight="1">
      <c r="A172" s="4" t="n"/>
      <c r="B172" s="4" t="n"/>
      <c r="C172" s="4" t="n"/>
      <c r="D172" s="4" t="n"/>
      <c r="E172" s="4" t="n"/>
      <c r="F172" s="4">
        <f>D172*E172</f>
        <v/>
      </c>
      <c r="G172" s="4" t="n"/>
      <c r="H172" s="4" t="n"/>
    </row>
    <row r="173" ht="18" customHeight="1">
      <c r="A173" s="3" t="n"/>
      <c r="B173" s="3" t="n"/>
      <c r="C173" s="3" t="n"/>
      <c r="D173" s="3" t="n"/>
      <c r="E173" s="3" t="n"/>
      <c r="F173" s="3">
        <f>D173*E173</f>
        <v/>
      </c>
      <c r="G173" s="3" t="n"/>
      <c r="H173" s="3" t="n"/>
    </row>
    <row r="174" ht="18" customHeight="1">
      <c r="A174" s="4" t="n"/>
      <c r="B174" s="4" t="n"/>
      <c r="C174" s="4" t="n"/>
      <c r="D174" s="4" t="n"/>
      <c r="E174" s="4" t="n"/>
      <c r="F174" s="4">
        <f>D174*E174</f>
        <v/>
      </c>
      <c r="G174" s="4" t="n"/>
      <c r="H174" s="4" t="n"/>
    </row>
    <row r="175" ht="18" customHeight="1">
      <c r="A175" s="3" t="n"/>
      <c r="B175" s="3" t="n"/>
      <c r="C175" s="3" t="n"/>
      <c r="D175" s="3" t="n"/>
      <c r="E175" s="3" t="n"/>
      <c r="F175" s="3">
        <f>D175*E175</f>
        <v/>
      </c>
      <c r="G175" s="3" t="n"/>
      <c r="H175" s="3" t="n"/>
    </row>
    <row r="176" ht="18" customHeight="1">
      <c r="A176" s="4" t="n"/>
      <c r="B176" s="4" t="n"/>
      <c r="C176" s="4" t="n"/>
      <c r="D176" s="4" t="n"/>
      <c r="E176" s="4" t="n"/>
      <c r="F176" s="4">
        <f>D176*E176</f>
        <v/>
      </c>
      <c r="G176" s="4" t="n"/>
      <c r="H176" s="4" t="n"/>
    </row>
    <row r="177" ht="18" customHeight="1">
      <c r="A177" s="3" t="n"/>
      <c r="B177" s="3" t="n"/>
      <c r="C177" s="3" t="n"/>
      <c r="D177" s="3" t="n"/>
      <c r="E177" s="3" t="n"/>
      <c r="F177" s="3">
        <f>D177*E177</f>
        <v/>
      </c>
      <c r="G177" s="3" t="n"/>
      <c r="H177" s="3" t="n"/>
    </row>
    <row r="178" ht="18" customHeight="1">
      <c r="A178" s="4" t="n"/>
      <c r="B178" s="4" t="n"/>
      <c r="C178" s="4" t="n"/>
      <c r="D178" s="4" t="n"/>
      <c r="E178" s="4" t="n"/>
      <c r="F178" s="4">
        <f>D178*E178</f>
        <v/>
      </c>
      <c r="G178" s="4" t="n"/>
      <c r="H178" s="4" t="n"/>
    </row>
    <row r="179" ht="18" customHeight="1">
      <c r="A179" s="3" t="n"/>
      <c r="B179" s="3" t="n"/>
      <c r="C179" s="3" t="n"/>
      <c r="D179" s="3" t="n"/>
      <c r="E179" s="3" t="n"/>
      <c r="F179" s="3">
        <f>D179*E179</f>
        <v/>
      </c>
      <c r="G179" s="3" t="n"/>
      <c r="H179" s="3" t="n"/>
    </row>
    <row r="180" ht="18" customHeight="1">
      <c r="A180" s="4" t="n"/>
      <c r="B180" s="4" t="n"/>
      <c r="C180" s="4" t="n"/>
      <c r="D180" s="4" t="n"/>
      <c r="E180" s="4" t="n"/>
      <c r="F180" s="4">
        <f>D180*E180</f>
        <v/>
      </c>
      <c r="G180" s="4" t="n"/>
      <c r="H180" s="4" t="n"/>
    </row>
    <row r="181" ht="18" customHeight="1">
      <c r="A181" s="3" t="n"/>
      <c r="B181" s="3" t="n"/>
      <c r="C181" s="3" t="n"/>
      <c r="D181" s="3" t="n"/>
      <c r="E181" s="3" t="n"/>
      <c r="F181" s="3">
        <f>D181*E181</f>
        <v/>
      </c>
      <c r="G181" s="3" t="n"/>
      <c r="H181" s="3" t="n"/>
    </row>
    <row r="182" ht="18" customHeight="1">
      <c r="A182" s="4" t="n"/>
      <c r="B182" s="4" t="n"/>
      <c r="C182" s="4" t="n"/>
      <c r="D182" s="4" t="n"/>
      <c r="E182" s="4" t="n"/>
      <c r="F182" s="4">
        <f>D182*E182</f>
        <v/>
      </c>
      <c r="G182" s="4" t="n"/>
      <c r="H182" s="4" t="n"/>
    </row>
    <row r="183" ht="18" customHeight="1">
      <c r="A183" s="3" t="n"/>
      <c r="B183" s="3" t="n"/>
      <c r="C183" s="3" t="n"/>
      <c r="D183" s="3" t="n"/>
      <c r="E183" s="3" t="n"/>
      <c r="F183" s="3">
        <f>D183*E183</f>
        <v/>
      </c>
      <c r="G183" s="3" t="n"/>
      <c r="H183" s="3" t="n"/>
    </row>
    <row r="184" ht="18" customHeight="1">
      <c r="A184" s="4" t="n"/>
      <c r="B184" s="4" t="n"/>
      <c r="C184" s="4" t="n"/>
      <c r="D184" s="4" t="n"/>
      <c r="E184" s="4" t="n"/>
      <c r="F184" s="4">
        <f>D184*E184</f>
        <v/>
      </c>
      <c r="G184" s="4" t="n"/>
      <c r="H184" s="4" t="n"/>
    </row>
    <row r="185" ht="18" customHeight="1">
      <c r="A185" s="3" t="n"/>
      <c r="B185" s="3" t="n"/>
      <c r="C185" s="3" t="n"/>
      <c r="D185" s="3" t="n"/>
      <c r="E185" s="3" t="n"/>
      <c r="F185" s="3">
        <f>D185*E185</f>
        <v/>
      </c>
      <c r="G185" s="3" t="n"/>
      <c r="H185" s="3" t="n"/>
    </row>
    <row r="186" ht="18" customHeight="1">
      <c r="A186" s="4" t="n"/>
      <c r="B186" s="4" t="n"/>
      <c r="C186" s="4" t="n"/>
      <c r="D186" s="4" t="n"/>
      <c r="E186" s="4" t="n"/>
      <c r="F186" s="4">
        <f>D186*E186</f>
        <v/>
      </c>
      <c r="G186" s="4" t="n"/>
      <c r="H186" s="4" t="n"/>
    </row>
    <row r="187" ht="18" customHeight="1">
      <c r="A187" s="3" t="n"/>
      <c r="B187" s="3" t="n"/>
      <c r="C187" s="3" t="n"/>
      <c r="D187" s="3" t="n"/>
      <c r="E187" s="3" t="n"/>
      <c r="F187" s="3">
        <f>D187*E187</f>
        <v/>
      </c>
      <c r="G187" s="3" t="n"/>
      <c r="H187" s="3" t="n"/>
    </row>
    <row r="188" ht="18" customHeight="1">
      <c r="A188" s="4" t="n"/>
      <c r="B188" s="4" t="n"/>
      <c r="C188" s="4" t="n"/>
      <c r="D188" s="4" t="n"/>
      <c r="E188" s="4" t="n"/>
      <c r="F188" s="4">
        <f>D188*E188</f>
        <v/>
      </c>
      <c r="G188" s="4" t="n"/>
      <c r="H188" s="4" t="n"/>
    </row>
    <row r="189" ht="18" customHeight="1">
      <c r="A189" s="3" t="n"/>
      <c r="B189" s="3" t="n"/>
      <c r="C189" s="3" t="n"/>
      <c r="D189" s="3" t="n"/>
      <c r="E189" s="3" t="n"/>
      <c r="F189" s="3">
        <f>D189*E189</f>
        <v/>
      </c>
      <c r="G189" s="3" t="n"/>
      <c r="H189" s="3" t="n"/>
    </row>
    <row r="190" ht="18" customHeight="1">
      <c r="A190" s="4" t="n"/>
      <c r="B190" s="4" t="n"/>
      <c r="C190" s="4" t="n"/>
      <c r="D190" s="4" t="n"/>
      <c r="E190" s="4" t="n"/>
      <c r="F190" s="4">
        <f>D190*E190</f>
        <v/>
      </c>
      <c r="G190" s="4" t="n"/>
      <c r="H190" s="4" t="n"/>
    </row>
    <row r="191" ht="18" customHeight="1">
      <c r="A191" s="3" t="n"/>
      <c r="B191" s="3" t="n"/>
      <c r="C191" s="3" t="n"/>
      <c r="D191" s="3" t="n"/>
      <c r="E191" s="3" t="n"/>
      <c r="F191" s="3">
        <f>D191*E191</f>
        <v/>
      </c>
      <c r="G191" s="3" t="n"/>
      <c r="H191" s="3" t="n"/>
    </row>
    <row r="192" ht="18" customHeight="1">
      <c r="A192" s="4" t="n"/>
      <c r="B192" s="4" t="n"/>
      <c r="C192" s="4" t="n"/>
      <c r="D192" s="4" t="n"/>
      <c r="E192" s="4" t="n"/>
      <c r="F192" s="4">
        <f>D192*E192</f>
        <v/>
      </c>
      <c r="G192" s="4" t="n"/>
      <c r="H192" s="4" t="n"/>
    </row>
    <row r="193" ht="18" customHeight="1">
      <c r="A193" s="3" t="n"/>
      <c r="B193" s="3" t="n"/>
      <c r="C193" s="3" t="n"/>
      <c r="D193" s="3" t="n"/>
      <c r="E193" s="3" t="n"/>
      <c r="F193" s="3">
        <f>D193*E193</f>
        <v/>
      </c>
      <c r="G193" s="3" t="n"/>
      <c r="H193" s="3" t="n"/>
    </row>
    <row r="194" ht="18" customHeight="1">
      <c r="A194" s="4" t="n"/>
      <c r="B194" s="4" t="n"/>
      <c r="C194" s="4" t="n"/>
      <c r="D194" s="4" t="n"/>
      <c r="E194" s="4" t="n"/>
      <c r="F194" s="4">
        <f>D194*E194</f>
        <v/>
      </c>
      <c r="G194" s="4" t="n"/>
      <c r="H194" s="4" t="n"/>
    </row>
    <row r="195" ht="18" customHeight="1">
      <c r="A195" s="3" t="n"/>
      <c r="B195" s="3" t="n"/>
      <c r="C195" s="3" t="n"/>
      <c r="D195" s="3" t="n"/>
      <c r="E195" s="3" t="n"/>
      <c r="F195" s="3">
        <f>D195*E195</f>
        <v/>
      </c>
      <c r="G195" s="3" t="n"/>
      <c r="H195" s="3" t="n"/>
    </row>
    <row r="196" ht="18" customHeight="1">
      <c r="A196" s="4" t="n"/>
      <c r="B196" s="4" t="n"/>
      <c r="C196" s="4" t="n"/>
      <c r="D196" s="4" t="n"/>
      <c r="E196" s="4" t="n"/>
      <c r="F196" s="4">
        <f>D196*E196</f>
        <v/>
      </c>
      <c r="G196" s="4" t="n"/>
      <c r="H196" s="4" t="n"/>
    </row>
    <row r="197" ht="18" customHeight="1">
      <c r="A197" s="3" t="n"/>
      <c r="B197" s="3" t="n"/>
      <c r="C197" s="3" t="n"/>
      <c r="D197" s="3" t="n"/>
      <c r="E197" s="3" t="n"/>
      <c r="F197" s="3">
        <f>D197*E197</f>
        <v/>
      </c>
      <c r="G197" s="3" t="n"/>
      <c r="H197" s="3" t="n"/>
    </row>
    <row r="198" ht="18" customHeight="1">
      <c r="A198" s="4" t="n"/>
      <c r="B198" s="4" t="n"/>
      <c r="C198" s="4" t="n"/>
      <c r="D198" s="4" t="n"/>
      <c r="E198" s="4" t="n"/>
      <c r="F198" s="4">
        <f>D198*E198</f>
        <v/>
      </c>
      <c r="G198" s="4" t="n"/>
      <c r="H198" s="4" t="n"/>
    </row>
    <row r="199" ht="18" customHeight="1">
      <c r="A199" s="3" t="n"/>
      <c r="B199" s="3" t="n"/>
      <c r="C199" s="3" t="n"/>
      <c r="D199" s="3" t="n"/>
      <c r="E199" s="3" t="n"/>
      <c r="F199" s="3">
        <f>D199*E199</f>
        <v/>
      </c>
      <c r="G199" s="3" t="n"/>
      <c r="H199" s="3" t="n"/>
    </row>
    <row r="200" ht="18" customHeight="1">
      <c r="A200" s="4" t="n"/>
      <c r="B200" s="4" t="n"/>
      <c r="C200" s="4" t="n"/>
      <c r="D200" s="4" t="n"/>
      <c r="E200" s="4" t="n"/>
      <c r="F200" s="4">
        <f>D200*E200</f>
        <v/>
      </c>
      <c r="G200" s="4" t="n"/>
      <c r="H200" s="4" t="n"/>
    </row>
    <row r="201" ht="18" customHeight="1">
      <c r="A201" s="3" t="n"/>
      <c r="B201" s="3" t="n"/>
      <c r="C201" s="3" t="n"/>
      <c r="D201" s="3" t="n"/>
      <c r="E201" s="3" t="n"/>
      <c r="F201" s="3">
        <f>D201*E201</f>
        <v/>
      </c>
      <c r="G201" s="3" t="n"/>
      <c r="H201" s="3" t="n"/>
    </row>
    <row r="202" ht="18" customHeight="1">
      <c r="A202" s="4" t="n"/>
      <c r="B202" s="4" t="n"/>
      <c r="C202" s="4" t="n"/>
      <c r="D202" s="4" t="n"/>
      <c r="E202" s="4" t="n"/>
      <c r="F202" s="4">
        <f>D202*E202</f>
        <v/>
      </c>
      <c r="G202" s="4" t="n"/>
      <c r="H202" s="4" t="n"/>
    </row>
    <row r="203" ht="18" customHeight="1">
      <c r="A203" s="3" t="n"/>
      <c r="B203" s="3" t="n"/>
      <c r="C203" s="3" t="n"/>
      <c r="D203" s="3" t="n"/>
      <c r="E203" s="3" t="n"/>
      <c r="F203" s="3">
        <f>D203*E203</f>
        <v/>
      </c>
      <c r="G203" s="3" t="n"/>
      <c r="H203" s="3" t="n"/>
    </row>
    <row r="204" ht="18" customHeight="1">
      <c r="A204" s="4" t="n"/>
      <c r="B204" s="4" t="n"/>
      <c r="C204" s="4" t="n"/>
      <c r="D204" s="4" t="n"/>
      <c r="E204" s="4" t="n"/>
      <c r="F204" s="4">
        <f>D204*E204</f>
        <v/>
      </c>
      <c r="G204" s="4" t="n"/>
      <c r="H204" s="4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4" customWidth="1" min="5" max="5"/>
    <col width="13" customWidth="1" min="6" max="6"/>
    <col width="12" customWidth="1" min="7" max="7"/>
    <col width="16" customWidth="1" min="8" max="8"/>
  </cols>
  <sheetData>
    <row r="1" ht="30" customHeight="1">
      <c r="A1" s="1" t="inlineStr">
        <is>
          <t>💰  DAILY CASH FLOW REGISTER</t>
        </is>
      </c>
    </row>
    <row r="2" ht="8" customHeight="1"/>
    <row r="3" ht="8" customHeight="1"/>
    <row r="4" ht="22" customHeight="1">
      <c r="A4" s="2" t="inlineStr">
        <is>
          <t>Date</t>
        </is>
      </c>
      <c r="B4" s="2" t="inlineStr">
        <is>
          <t>Opening Balance</t>
        </is>
      </c>
      <c r="C4" s="2" t="inlineStr">
        <is>
          <t>Cash In (Sales)</t>
        </is>
      </c>
      <c r="D4" s="2" t="inlineStr">
        <is>
          <t>Cash Out (Expenses)</t>
        </is>
      </c>
      <c r="E4" s="2" t="inlineStr">
        <is>
          <t>Bank Deposit</t>
        </is>
      </c>
      <c r="F4" s="2" t="inlineStr">
        <is>
          <t>Withdrawal</t>
        </is>
      </c>
      <c r="G4" s="2" t="inlineStr">
        <is>
          <t>Petty Cash</t>
        </is>
      </c>
      <c r="H4" s="2" t="inlineStr">
        <is>
          <t>Closing Balance</t>
        </is>
      </c>
    </row>
    <row r="5" ht="18" customHeight="1">
      <c r="A5" s="3" t="n"/>
      <c r="B5" s="3" t="n"/>
      <c r="C5" s="3" t="n"/>
      <c r="D5" s="3" t="n"/>
      <c r="E5" s="3" t="n"/>
      <c r="F5" s="3" t="n"/>
      <c r="G5" s="3" t="n"/>
      <c r="H5" s="3">
        <f>B5+C5-D5-E5+F5-G5</f>
        <v/>
      </c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>
        <f>B6+C6-D6-E6+F6-G6</f>
        <v/>
      </c>
    </row>
    <row r="7" ht="18" customHeight="1">
      <c r="A7" s="3" t="n"/>
      <c r="B7" s="3" t="n"/>
      <c r="C7" s="3" t="n"/>
      <c r="D7" s="3" t="n"/>
      <c r="E7" s="3" t="n"/>
      <c r="F7" s="3" t="n"/>
      <c r="G7" s="3" t="n"/>
      <c r="H7" s="3">
        <f>B7+C7-D7-E7+F7-G7</f>
        <v/>
      </c>
    </row>
    <row r="8" ht="18" customHeight="1">
      <c r="A8" s="4" t="n"/>
      <c r="B8" s="4" t="n"/>
      <c r="C8" s="4" t="n"/>
      <c r="D8" s="4" t="n"/>
      <c r="E8" s="4" t="n"/>
      <c r="F8" s="4" t="n"/>
      <c r="G8" s="4" t="n"/>
      <c r="H8" s="4">
        <f>B8+C8-D8-E8+F8-G8</f>
        <v/>
      </c>
    </row>
    <row r="9" ht="18" customHeight="1">
      <c r="A9" s="3" t="n"/>
      <c r="B9" s="3" t="n"/>
      <c r="C9" s="3" t="n"/>
      <c r="D9" s="3" t="n"/>
      <c r="E9" s="3" t="n"/>
      <c r="F9" s="3" t="n"/>
      <c r="G9" s="3" t="n"/>
      <c r="H9" s="3">
        <f>B9+C9-D9-E9+F9-G9</f>
        <v/>
      </c>
    </row>
    <row r="10" ht="18" customHeight="1">
      <c r="A10" s="4" t="n"/>
      <c r="B10" s="4" t="n"/>
      <c r="C10" s="4" t="n"/>
      <c r="D10" s="4" t="n"/>
      <c r="E10" s="4" t="n"/>
      <c r="F10" s="4" t="n"/>
      <c r="G10" s="4" t="n"/>
      <c r="H10" s="4">
        <f>B10+C10-D10-E10+F10-G10</f>
        <v/>
      </c>
    </row>
    <row r="11" ht="18" customHeight="1">
      <c r="A11" s="3" t="n"/>
      <c r="B11" s="3" t="n"/>
      <c r="C11" s="3" t="n"/>
      <c r="D11" s="3" t="n"/>
      <c r="E11" s="3" t="n"/>
      <c r="F11" s="3" t="n"/>
      <c r="G11" s="3" t="n"/>
      <c r="H11" s="3">
        <f>B11+C11-D11-E11+F11-G11</f>
        <v/>
      </c>
    </row>
    <row r="12" ht="18" customHeight="1">
      <c r="A12" s="4" t="n"/>
      <c r="B12" s="4" t="n"/>
      <c r="C12" s="4" t="n"/>
      <c r="D12" s="4" t="n"/>
      <c r="E12" s="4" t="n"/>
      <c r="F12" s="4" t="n"/>
      <c r="G12" s="4" t="n"/>
      <c r="H12" s="4">
        <f>B12+C12-D12-E12+F12-G12</f>
        <v/>
      </c>
    </row>
    <row r="13" ht="18" customHeight="1">
      <c r="A13" s="3" t="n"/>
      <c r="B13" s="3" t="n"/>
      <c r="C13" s="3" t="n"/>
      <c r="D13" s="3" t="n"/>
      <c r="E13" s="3" t="n"/>
      <c r="F13" s="3" t="n"/>
      <c r="G13" s="3" t="n"/>
      <c r="H13" s="3">
        <f>B13+C13-D13-E13+F13-G13</f>
        <v/>
      </c>
    </row>
    <row r="14" ht="18" customHeight="1">
      <c r="A14" s="4" t="n"/>
      <c r="B14" s="4" t="n"/>
      <c r="C14" s="4" t="n"/>
      <c r="D14" s="4" t="n"/>
      <c r="E14" s="4" t="n"/>
      <c r="F14" s="4" t="n"/>
      <c r="G14" s="4" t="n"/>
      <c r="H14" s="4">
        <f>B14+C14-D14-E14+F14-G14</f>
        <v/>
      </c>
    </row>
    <row r="15" ht="18" customHeight="1">
      <c r="A15" s="3" t="n"/>
      <c r="B15" s="3" t="n"/>
      <c r="C15" s="3" t="n"/>
      <c r="D15" s="3" t="n"/>
      <c r="E15" s="3" t="n"/>
      <c r="F15" s="3" t="n"/>
      <c r="G15" s="3" t="n"/>
      <c r="H15" s="3">
        <f>B15+C15-D15-E15+F15-G15</f>
        <v/>
      </c>
    </row>
    <row r="16" ht="18" customHeight="1">
      <c r="A16" s="4" t="n"/>
      <c r="B16" s="4" t="n"/>
      <c r="C16" s="4" t="n"/>
      <c r="D16" s="4" t="n"/>
      <c r="E16" s="4" t="n"/>
      <c r="F16" s="4" t="n"/>
      <c r="G16" s="4" t="n"/>
      <c r="H16" s="4">
        <f>B16+C16-D16-E16+F16-G16</f>
        <v/>
      </c>
    </row>
    <row r="17" ht="18" customHeight="1">
      <c r="A17" s="3" t="n"/>
      <c r="B17" s="3" t="n"/>
      <c r="C17" s="3" t="n"/>
      <c r="D17" s="3" t="n"/>
      <c r="E17" s="3" t="n"/>
      <c r="F17" s="3" t="n"/>
      <c r="G17" s="3" t="n"/>
      <c r="H17" s="3">
        <f>B17+C17-D17-E17+F17-G17</f>
        <v/>
      </c>
    </row>
    <row r="18" ht="18" customHeight="1">
      <c r="A18" s="4" t="n"/>
      <c r="B18" s="4" t="n"/>
      <c r="C18" s="4" t="n"/>
      <c r="D18" s="4" t="n"/>
      <c r="E18" s="4" t="n"/>
      <c r="F18" s="4" t="n"/>
      <c r="G18" s="4" t="n"/>
      <c r="H18" s="4">
        <f>B18+C18-D18-E18+F18-G18</f>
        <v/>
      </c>
    </row>
    <row r="19" ht="18" customHeight="1">
      <c r="A19" s="3" t="n"/>
      <c r="B19" s="3" t="n"/>
      <c r="C19" s="3" t="n"/>
      <c r="D19" s="3" t="n"/>
      <c r="E19" s="3" t="n"/>
      <c r="F19" s="3" t="n"/>
      <c r="G19" s="3" t="n"/>
      <c r="H19" s="3">
        <f>B19+C19-D19-E19+F19-G19</f>
        <v/>
      </c>
    </row>
    <row r="20" ht="18" customHeight="1">
      <c r="A20" s="4" t="n"/>
      <c r="B20" s="4" t="n"/>
      <c r="C20" s="4" t="n"/>
      <c r="D20" s="4" t="n"/>
      <c r="E20" s="4" t="n"/>
      <c r="F20" s="4" t="n"/>
      <c r="G20" s="4" t="n"/>
      <c r="H20" s="4">
        <f>B20+C20-D20-E20+F20-G20</f>
        <v/>
      </c>
    </row>
    <row r="21" ht="18" customHeight="1">
      <c r="A21" s="3" t="n"/>
      <c r="B21" s="3" t="n"/>
      <c r="C21" s="3" t="n"/>
      <c r="D21" s="3" t="n"/>
      <c r="E21" s="3" t="n"/>
      <c r="F21" s="3" t="n"/>
      <c r="G21" s="3" t="n"/>
      <c r="H21" s="3">
        <f>B21+C21-D21-E21+F21-G21</f>
        <v/>
      </c>
    </row>
    <row r="22" ht="18" customHeight="1">
      <c r="A22" s="4" t="n"/>
      <c r="B22" s="4" t="n"/>
      <c r="C22" s="4" t="n"/>
      <c r="D22" s="4" t="n"/>
      <c r="E22" s="4" t="n"/>
      <c r="F22" s="4" t="n"/>
      <c r="G22" s="4" t="n"/>
      <c r="H22" s="4">
        <f>B22+C22-D22-E22+F22-G22</f>
        <v/>
      </c>
    </row>
    <row r="23" ht="18" customHeight="1">
      <c r="A23" s="3" t="n"/>
      <c r="B23" s="3" t="n"/>
      <c r="C23" s="3" t="n"/>
      <c r="D23" s="3" t="n"/>
      <c r="E23" s="3" t="n"/>
      <c r="F23" s="3" t="n"/>
      <c r="G23" s="3" t="n"/>
      <c r="H23" s="3">
        <f>B23+C23-D23-E23+F23-G23</f>
        <v/>
      </c>
    </row>
    <row r="24" ht="18" customHeight="1">
      <c r="A24" s="4" t="n"/>
      <c r="B24" s="4" t="n"/>
      <c r="C24" s="4" t="n"/>
      <c r="D24" s="4" t="n"/>
      <c r="E24" s="4" t="n"/>
      <c r="F24" s="4" t="n"/>
      <c r="G24" s="4" t="n"/>
      <c r="H24" s="4">
        <f>B24+C24-D24-E24+F24-G24</f>
        <v/>
      </c>
    </row>
    <row r="25" ht="18" customHeight="1">
      <c r="A25" s="3" t="n"/>
      <c r="B25" s="3" t="n"/>
      <c r="C25" s="3" t="n"/>
      <c r="D25" s="3" t="n"/>
      <c r="E25" s="3" t="n"/>
      <c r="F25" s="3" t="n"/>
      <c r="G25" s="3" t="n"/>
      <c r="H25" s="3">
        <f>B25+C25-D25-E25+F25-G25</f>
        <v/>
      </c>
    </row>
    <row r="26" ht="18" customHeight="1">
      <c r="A26" s="4" t="n"/>
      <c r="B26" s="4" t="n"/>
      <c r="C26" s="4" t="n"/>
      <c r="D26" s="4" t="n"/>
      <c r="E26" s="4" t="n"/>
      <c r="F26" s="4" t="n"/>
      <c r="G26" s="4" t="n"/>
      <c r="H26" s="4">
        <f>B26+C26-D26-E26+F26-G26</f>
        <v/>
      </c>
    </row>
    <row r="27" ht="18" customHeight="1">
      <c r="A27" s="3" t="n"/>
      <c r="B27" s="3" t="n"/>
      <c r="C27" s="3" t="n"/>
      <c r="D27" s="3" t="n"/>
      <c r="E27" s="3" t="n"/>
      <c r="F27" s="3" t="n"/>
      <c r="G27" s="3" t="n"/>
      <c r="H27" s="3">
        <f>B27+C27-D27-E27+F27-G27</f>
        <v/>
      </c>
    </row>
    <row r="28" ht="18" customHeight="1">
      <c r="A28" s="4" t="n"/>
      <c r="B28" s="4" t="n"/>
      <c r="C28" s="4" t="n"/>
      <c r="D28" s="4" t="n"/>
      <c r="E28" s="4" t="n"/>
      <c r="F28" s="4" t="n"/>
      <c r="G28" s="4" t="n"/>
      <c r="H28" s="4">
        <f>B28+C28-D28-E28+F28-G28</f>
        <v/>
      </c>
    </row>
    <row r="29" ht="18" customHeight="1">
      <c r="A29" s="3" t="n"/>
      <c r="B29" s="3" t="n"/>
      <c r="C29" s="3" t="n"/>
      <c r="D29" s="3" t="n"/>
      <c r="E29" s="3" t="n"/>
      <c r="F29" s="3" t="n"/>
      <c r="G29" s="3" t="n"/>
      <c r="H29" s="3">
        <f>B29+C29-D29-E29+F29-G29</f>
        <v/>
      </c>
    </row>
    <row r="30" ht="18" customHeight="1">
      <c r="A30" s="4" t="n"/>
      <c r="B30" s="4" t="n"/>
      <c r="C30" s="4" t="n"/>
      <c r="D30" s="4" t="n"/>
      <c r="E30" s="4" t="n"/>
      <c r="F30" s="4" t="n"/>
      <c r="G30" s="4" t="n"/>
      <c r="H30" s="4">
        <f>B30+C30-D30-E30+F30-G30</f>
        <v/>
      </c>
    </row>
    <row r="31" ht="18" customHeight="1">
      <c r="A31" s="3" t="n"/>
      <c r="B31" s="3" t="n"/>
      <c r="C31" s="3" t="n"/>
      <c r="D31" s="3" t="n"/>
      <c r="E31" s="3" t="n"/>
      <c r="F31" s="3" t="n"/>
      <c r="G31" s="3" t="n"/>
      <c r="H31" s="3">
        <f>B31+C31-D31-E31+F31-G31</f>
        <v/>
      </c>
    </row>
    <row r="32" ht="18" customHeight="1">
      <c r="A32" s="4" t="n"/>
      <c r="B32" s="4" t="n"/>
      <c r="C32" s="4" t="n"/>
      <c r="D32" s="4" t="n"/>
      <c r="E32" s="4" t="n"/>
      <c r="F32" s="4" t="n"/>
      <c r="G32" s="4" t="n"/>
      <c r="H32" s="4">
        <f>B32+C32-D32-E32+F32-G32</f>
        <v/>
      </c>
    </row>
    <row r="33" ht="18" customHeight="1">
      <c r="A33" s="3" t="n"/>
      <c r="B33" s="3" t="n"/>
      <c r="C33" s="3" t="n"/>
      <c r="D33" s="3" t="n"/>
      <c r="E33" s="3" t="n"/>
      <c r="F33" s="3" t="n"/>
      <c r="G33" s="3" t="n"/>
      <c r="H33" s="3">
        <f>B33+C33-D33-E33+F33-G33</f>
        <v/>
      </c>
    </row>
    <row r="34" ht="18" customHeight="1">
      <c r="A34" s="4" t="n"/>
      <c r="B34" s="4" t="n"/>
      <c r="C34" s="4" t="n"/>
      <c r="D34" s="4" t="n"/>
      <c r="E34" s="4" t="n"/>
      <c r="F34" s="4" t="n"/>
      <c r="G34" s="4" t="n"/>
      <c r="H34" s="4">
        <f>B34+C34-D34-E34+F34-G34</f>
        <v/>
      </c>
    </row>
    <row r="35" ht="18" customHeight="1">
      <c r="A35" s="3" t="n"/>
      <c r="B35" s="3" t="n"/>
      <c r="C35" s="3" t="n"/>
      <c r="D35" s="3" t="n"/>
      <c r="E35" s="3" t="n"/>
      <c r="F35" s="3" t="n"/>
      <c r="G35" s="3" t="n"/>
      <c r="H35" s="3">
        <f>B35+C35-D35-E35+F35-G35</f>
        <v/>
      </c>
    </row>
    <row r="36" ht="18" customHeight="1">
      <c r="A36" s="4" t="n"/>
      <c r="B36" s="4" t="n"/>
      <c r="C36" s="4" t="n"/>
      <c r="D36" s="4" t="n"/>
      <c r="E36" s="4" t="n"/>
      <c r="F36" s="4" t="n"/>
      <c r="G36" s="4" t="n"/>
      <c r="H36" s="4">
        <f>B36+C36-D36-E36+F36-G36</f>
        <v/>
      </c>
    </row>
    <row r="37" ht="18" customHeight="1">
      <c r="A37" s="3" t="n"/>
      <c r="B37" s="3" t="n"/>
      <c r="C37" s="3" t="n"/>
      <c r="D37" s="3" t="n"/>
      <c r="E37" s="3" t="n"/>
      <c r="F37" s="3" t="n"/>
      <c r="G37" s="3" t="n"/>
      <c r="H37" s="3">
        <f>B37+C37-D37-E37+F37-G37</f>
        <v/>
      </c>
    </row>
    <row r="38" ht="18" customHeight="1">
      <c r="A38" s="4" t="n"/>
      <c r="B38" s="4" t="n"/>
      <c r="C38" s="4" t="n"/>
      <c r="D38" s="4" t="n"/>
      <c r="E38" s="4" t="n"/>
      <c r="F38" s="4" t="n"/>
      <c r="G38" s="4" t="n"/>
      <c r="H38" s="4">
        <f>B38+C38-D38-E38+F38-G38</f>
        <v/>
      </c>
    </row>
    <row r="39" ht="18" customHeight="1">
      <c r="A39" s="3" t="n"/>
      <c r="B39" s="3" t="n"/>
      <c r="C39" s="3" t="n"/>
      <c r="D39" s="3" t="n"/>
      <c r="E39" s="3" t="n"/>
      <c r="F39" s="3" t="n"/>
      <c r="G39" s="3" t="n"/>
      <c r="H39" s="3">
        <f>B39+C39-D39-E39+F39-G39</f>
        <v/>
      </c>
    </row>
    <row r="40" ht="18" customHeight="1">
      <c r="A40" s="4" t="n"/>
      <c r="B40" s="4" t="n"/>
      <c r="C40" s="4" t="n"/>
      <c r="D40" s="4" t="n"/>
      <c r="E40" s="4" t="n"/>
      <c r="F40" s="4" t="n"/>
      <c r="G40" s="4" t="n"/>
      <c r="H40" s="4">
        <f>B40+C40-D40-E40+F40-G40</f>
        <v/>
      </c>
    </row>
    <row r="41" ht="18" customHeight="1">
      <c r="A41" s="3" t="n"/>
      <c r="B41" s="3" t="n"/>
      <c r="C41" s="3" t="n"/>
      <c r="D41" s="3" t="n"/>
      <c r="E41" s="3" t="n"/>
      <c r="F41" s="3" t="n"/>
      <c r="G41" s="3" t="n"/>
      <c r="H41" s="3">
        <f>B41+C41-D41-E41+F41-G41</f>
        <v/>
      </c>
    </row>
    <row r="42" ht="18" customHeight="1">
      <c r="A42" s="4" t="n"/>
      <c r="B42" s="4" t="n"/>
      <c r="C42" s="4" t="n"/>
      <c r="D42" s="4" t="n"/>
      <c r="E42" s="4" t="n"/>
      <c r="F42" s="4" t="n"/>
      <c r="G42" s="4" t="n"/>
      <c r="H42" s="4">
        <f>B42+C42-D42-E42+F42-G42</f>
        <v/>
      </c>
    </row>
    <row r="43" ht="18" customHeight="1">
      <c r="A43" s="3" t="n"/>
      <c r="B43" s="3" t="n"/>
      <c r="C43" s="3" t="n"/>
      <c r="D43" s="3" t="n"/>
      <c r="E43" s="3" t="n"/>
      <c r="F43" s="3" t="n"/>
      <c r="G43" s="3" t="n"/>
      <c r="H43" s="3">
        <f>B43+C43-D43-E43+F43-G43</f>
        <v/>
      </c>
    </row>
    <row r="44" ht="18" customHeight="1">
      <c r="A44" s="4" t="n"/>
      <c r="B44" s="4" t="n"/>
      <c r="C44" s="4" t="n"/>
      <c r="D44" s="4" t="n"/>
      <c r="E44" s="4" t="n"/>
      <c r="F44" s="4" t="n"/>
      <c r="G44" s="4" t="n"/>
      <c r="H44" s="4">
        <f>B44+C44-D44-E44+F44-G44</f>
        <v/>
      </c>
    </row>
    <row r="45" ht="18" customHeight="1">
      <c r="A45" s="3" t="n"/>
      <c r="B45" s="3" t="n"/>
      <c r="C45" s="3" t="n"/>
      <c r="D45" s="3" t="n"/>
      <c r="E45" s="3" t="n"/>
      <c r="F45" s="3" t="n"/>
      <c r="G45" s="3" t="n"/>
      <c r="H45" s="3">
        <f>B45+C45-D45-E45+F45-G45</f>
        <v/>
      </c>
    </row>
    <row r="46" ht="18" customHeight="1">
      <c r="A46" s="4" t="n"/>
      <c r="B46" s="4" t="n"/>
      <c r="C46" s="4" t="n"/>
      <c r="D46" s="4" t="n"/>
      <c r="E46" s="4" t="n"/>
      <c r="F46" s="4" t="n"/>
      <c r="G46" s="4" t="n"/>
      <c r="H46" s="4">
        <f>B46+C46-D46-E46+F46-G46</f>
        <v/>
      </c>
    </row>
    <row r="47" ht="18" customHeight="1">
      <c r="A47" s="3" t="n"/>
      <c r="B47" s="3" t="n"/>
      <c r="C47" s="3" t="n"/>
      <c r="D47" s="3" t="n"/>
      <c r="E47" s="3" t="n"/>
      <c r="F47" s="3" t="n"/>
      <c r="G47" s="3" t="n"/>
      <c r="H47" s="3">
        <f>B47+C47-D47-E47+F47-G47</f>
        <v/>
      </c>
    </row>
    <row r="48" ht="18" customHeight="1">
      <c r="A48" s="4" t="n"/>
      <c r="B48" s="4" t="n"/>
      <c r="C48" s="4" t="n"/>
      <c r="D48" s="4" t="n"/>
      <c r="E48" s="4" t="n"/>
      <c r="F48" s="4" t="n"/>
      <c r="G48" s="4" t="n"/>
      <c r="H48" s="4">
        <f>B48+C48-D48-E48+F48-G48</f>
        <v/>
      </c>
    </row>
    <row r="49" ht="18" customHeight="1">
      <c r="A49" s="3" t="n"/>
      <c r="B49" s="3" t="n"/>
      <c r="C49" s="3" t="n"/>
      <c r="D49" s="3" t="n"/>
      <c r="E49" s="3" t="n"/>
      <c r="F49" s="3" t="n"/>
      <c r="G49" s="3" t="n"/>
      <c r="H49" s="3">
        <f>B49+C49-D49-E49+F49-G49</f>
        <v/>
      </c>
    </row>
    <row r="50" ht="18" customHeight="1">
      <c r="A50" s="4" t="n"/>
      <c r="B50" s="4" t="n"/>
      <c r="C50" s="4" t="n"/>
      <c r="D50" s="4" t="n"/>
      <c r="E50" s="4" t="n"/>
      <c r="F50" s="4" t="n"/>
      <c r="G50" s="4" t="n"/>
      <c r="H50" s="4">
        <f>B50+C50-D50-E50+F50-G50</f>
        <v/>
      </c>
    </row>
    <row r="51" ht="18" customHeight="1">
      <c r="A51" s="3" t="n"/>
      <c r="B51" s="3" t="n"/>
      <c r="C51" s="3" t="n"/>
      <c r="D51" s="3" t="n"/>
      <c r="E51" s="3" t="n"/>
      <c r="F51" s="3" t="n"/>
      <c r="G51" s="3" t="n"/>
      <c r="H51" s="3">
        <f>B51+C51-D51-E51+F51-G51</f>
        <v/>
      </c>
    </row>
    <row r="52" ht="18" customHeight="1">
      <c r="A52" s="4" t="n"/>
      <c r="B52" s="4" t="n"/>
      <c r="C52" s="4" t="n"/>
      <c r="D52" s="4" t="n"/>
      <c r="E52" s="4" t="n"/>
      <c r="F52" s="4" t="n"/>
      <c r="G52" s="4" t="n"/>
      <c r="H52" s="4">
        <f>B52+C52-D52-E52+F52-G52</f>
        <v/>
      </c>
    </row>
    <row r="53" ht="18" customHeight="1">
      <c r="A53" s="3" t="n"/>
      <c r="B53" s="3" t="n"/>
      <c r="C53" s="3" t="n"/>
      <c r="D53" s="3" t="n"/>
      <c r="E53" s="3" t="n"/>
      <c r="F53" s="3" t="n"/>
      <c r="G53" s="3" t="n"/>
      <c r="H53" s="3">
        <f>B53+C53-D53-E53+F53-G53</f>
        <v/>
      </c>
    </row>
    <row r="54" ht="18" customHeight="1">
      <c r="A54" s="4" t="n"/>
      <c r="B54" s="4" t="n"/>
      <c r="C54" s="4" t="n"/>
      <c r="D54" s="4" t="n"/>
      <c r="E54" s="4" t="n"/>
      <c r="F54" s="4" t="n"/>
      <c r="G54" s="4" t="n"/>
      <c r="H54" s="4">
        <f>B54+C54-D54-E54+F54-G54</f>
        <v/>
      </c>
    </row>
    <row r="55" ht="18" customHeight="1">
      <c r="A55" s="3" t="n"/>
      <c r="B55" s="3" t="n"/>
      <c r="C55" s="3" t="n"/>
      <c r="D55" s="3" t="n"/>
      <c r="E55" s="3" t="n"/>
      <c r="F55" s="3" t="n"/>
      <c r="G55" s="3" t="n"/>
      <c r="H55" s="3">
        <f>B55+C55-D55-E55+F55-G55</f>
        <v/>
      </c>
    </row>
    <row r="56" ht="18" customHeight="1">
      <c r="A56" s="4" t="n"/>
      <c r="B56" s="4" t="n"/>
      <c r="C56" s="4" t="n"/>
      <c r="D56" s="4" t="n"/>
      <c r="E56" s="4" t="n"/>
      <c r="F56" s="4" t="n"/>
      <c r="G56" s="4" t="n"/>
      <c r="H56" s="4">
        <f>B56+C56-D56-E56+F56-G56</f>
        <v/>
      </c>
    </row>
    <row r="57" ht="18" customHeight="1">
      <c r="A57" s="3" t="n"/>
      <c r="B57" s="3" t="n"/>
      <c r="C57" s="3" t="n"/>
      <c r="D57" s="3" t="n"/>
      <c r="E57" s="3" t="n"/>
      <c r="F57" s="3" t="n"/>
      <c r="G57" s="3" t="n"/>
      <c r="H57" s="3">
        <f>B57+C57-D57-E57+F57-G57</f>
        <v/>
      </c>
    </row>
    <row r="58" ht="18" customHeight="1">
      <c r="A58" s="4" t="n"/>
      <c r="B58" s="4" t="n"/>
      <c r="C58" s="4" t="n"/>
      <c r="D58" s="4" t="n"/>
      <c r="E58" s="4" t="n"/>
      <c r="F58" s="4" t="n"/>
      <c r="G58" s="4" t="n"/>
      <c r="H58" s="4">
        <f>B58+C58-D58-E58+F58-G58</f>
        <v/>
      </c>
    </row>
    <row r="59" ht="18" customHeight="1">
      <c r="A59" s="3" t="n"/>
      <c r="B59" s="3" t="n"/>
      <c r="C59" s="3" t="n"/>
      <c r="D59" s="3" t="n"/>
      <c r="E59" s="3" t="n"/>
      <c r="F59" s="3" t="n"/>
      <c r="G59" s="3" t="n"/>
      <c r="H59" s="3">
        <f>B59+C59-D59-E59+F59-G59</f>
        <v/>
      </c>
    </row>
    <row r="60" ht="18" customHeight="1">
      <c r="A60" s="4" t="n"/>
      <c r="B60" s="4" t="n"/>
      <c r="C60" s="4" t="n"/>
      <c r="D60" s="4" t="n"/>
      <c r="E60" s="4" t="n"/>
      <c r="F60" s="4" t="n"/>
      <c r="G60" s="4" t="n"/>
      <c r="H60" s="4">
        <f>B60+C60-D60-E60+F60-G60</f>
        <v/>
      </c>
    </row>
    <row r="61" ht="18" customHeight="1">
      <c r="A61" s="3" t="n"/>
      <c r="B61" s="3" t="n"/>
      <c r="C61" s="3" t="n"/>
      <c r="D61" s="3" t="n"/>
      <c r="E61" s="3" t="n"/>
      <c r="F61" s="3" t="n"/>
      <c r="G61" s="3" t="n"/>
      <c r="H61" s="3">
        <f>B61+C61-D61-E61+F61-G61</f>
        <v/>
      </c>
    </row>
    <row r="62" ht="18" customHeight="1">
      <c r="A62" s="4" t="n"/>
      <c r="B62" s="4" t="n"/>
      <c r="C62" s="4" t="n"/>
      <c r="D62" s="4" t="n"/>
      <c r="E62" s="4" t="n"/>
      <c r="F62" s="4" t="n"/>
      <c r="G62" s="4" t="n"/>
      <c r="H62" s="4">
        <f>B62+C62-D62-E62+F62-G62</f>
        <v/>
      </c>
    </row>
    <row r="63" ht="18" customHeight="1">
      <c r="A63" s="3" t="n"/>
      <c r="B63" s="3" t="n"/>
      <c r="C63" s="3" t="n"/>
      <c r="D63" s="3" t="n"/>
      <c r="E63" s="3" t="n"/>
      <c r="F63" s="3" t="n"/>
      <c r="G63" s="3" t="n"/>
      <c r="H63" s="3">
        <f>B63+C63-D63-E63+F63-G63</f>
        <v/>
      </c>
    </row>
    <row r="64" ht="18" customHeight="1">
      <c r="A64" s="4" t="n"/>
      <c r="B64" s="4" t="n"/>
      <c r="C64" s="4" t="n"/>
      <c r="D64" s="4" t="n"/>
      <c r="E64" s="4" t="n"/>
      <c r="F64" s="4" t="n"/>
      <c r="G64" s="4" t="n"/>
      <c r="H64" s="4">
        <f>B64+C64-D64-E64+F64-G64</f>
        <v/>
      </c>
    </row>
    <row r="65" ht="18" customHeight="1">
      <c r="A65" s="3" t="n"/>
      <c r="B65" s="3" t="n"/>
      <c r="C65" s="3" t="n"/>
      <c r="D65" s="3" t="n"/>
      <c r="E65" s="3" t="n"/>
      <c r="F65" s="3" t="n"/>
      <c r="G65" s="3" t="n"/>
      <c r="H65" s="3">
        <f>B65+C65-D65-E65+F65-G65</f>
        <v/>
      </c>
    </row>
    <row r="66" ht="18" customHeight="1">
      <c r="A66" s="4" t="n"/>
      <c r="B66" s="4" t="n"/>
      <c r="C66" s="4" t="n"/>
      <c r="D66" s="4" t="n"/>
      <c r="E66" s="4" t="n"/>
      <c r="F66" s="4" t="n"/>
      <c r="G66" s="4" t="n"/>
      <c r="H66" s="4">
        <f>B66+C66-D66-E66+F66-G66</f>
        <v/>
      </c>
    </row>
    <row r="67" ht="18" customHeight="1">
      <c r="A67" s="3" t="n"/>
      <c r="B67" s="3" t="n"/>
      <c r="C67" s="3" t="n"/>
      <c r="D67" s="3" t="n"/>
      <c r="E67" s="3" t="n"/>
      <c r="F67" s="3" t="n"/>
      <c r="G67" s="3" t="n"/>
      <c r="H67" s="3">
        <f>B67+C67-D67-E67+F67-G67</f>
        <v/>
      </c>
    </row>
    <row r="68" ht="18" customHeight="1">
      <c r="A68" s="4" t="n"/>
      <c r="B68" s="4" t="n"/>
      <c r="C68" s="4" t="n"/>
      <c r="D68" s="4" t="n"/>
      <c r="E68" s="4" t="n"/>
      <c r="F68" s="4" t="n"/>
      <c r="G68" s="4" t="n"/>
      <c r="H68" s="4">
        <f>B68+C68-D68-E68+F68-G68</f>
        <v/>
      </c>
    </row>
    <row r="69" ht="18" customHeight="1">
      <c r="A69" s="3" t="n"/>
      <c r="B69" s="3" t="n"/>
      <c r="C69" s="3" t="n"/>
      <c r="D69" s="3" t="n"/>
      <c r="E69" s="3" t="n"/>
      <c r="F69" s="3" t="n"/>
      <c r="G69" s="3" t="n"/>
      <c r="H69" s="3">
        <f>B69+C69-D69-E69+F69-G69</f>
        <v/>
      </c>
    </row>
    <row r="70" ht="18" customHeight="1">
      <c r="A70" s="4" t="n"/>
      <c r="B70" s="4" t="n"/>
      <c r="C70" s="4" t="n"/>
      <c r="D70" s="4" t="n"/>
      <c r="E70" s="4" t="n"/>
      <c r="F70" s="4" t="n"/>
      <c r="G70" s="4" t="n"/>
      <c r="H70" s="4">
        <f>B70+C70-D70-E70+F70-G70</f>
        <v/>
      </c>
    </row>
    <row r="71" ht="18" customHeight="1">
      <c r="A71" s="3" t="n"/>
      <c r="B71" s="3" t="n"/>
      <c r="C71" s="3" t="n"/>
      <c r="D71" s="3" t="n"/>
      <c r="E71" s="3" t="n"/>
      <c r="F71" s="3" t="n"/>
      <c r="G71" s="3" t="n"/>
      <c r="H71" s="3">
        <f>B71+C71-D71-E71+F71-G71</f>
        <v/>
      </c>
    </row>
    <row r="72" ht="18" customHeight="1">
      <c r="A72" s="4" t="n"/>
      <c r="B72" s="4" t="n"/>
      <c r="C72" s="4" t="n"/>
      <c r="D72" s="4" t="n"/>
      <c r="E72" s="4" t="n"/>
      <c r="F72" s="4" t="n"/>
      <c r="G72" s="4" t="n"/>
      <c r="H72" s="4">
        <f>B72+C72-D72-E72+F72-G72</f>
        <v/>
      </c>
    </row>
    <row r="73" ht="18" customHeight="1">
      <c r="A73" s="3" t="n"/>
      <c r="B73" s="3" t="n"/>
      <c r="C73" s="3" t="n"/>
      <c r="D73" s="3" t="n"/>
      <c r="E73" s="3" t="n"/>
      <c r="F73" s="3" t="n"/>
      <c r="G73" s="3" t="n"/>
      <c r="H73" s="3">
        <f>B73+C73-D73-E73+F73-G73</f>
        <v/>
      </c>
    </row>
    <row r="74" ht="18" customHeight="1">
      <c r="A74" s="4" t="n"/>
      <c r="B74" s="4" t="n"/>
      <c r="C74" s="4" t="n"/>
      <c r="D74" s="4" t="n"/>
      <c r="E74" s="4" t="n"/>
      <c r="F74" s="4" t="n"/>
      <c r="G74" s="4" t="n"/>
      <c r="H74" s="4">
        <f>B74+C74-D74-E74+F74-G74</f>
        <v/>
      </c>
    </row>
    <row r="75" ht="18" customHeight="1">
      <c r="A75" s="3" t="n"/>
      <c r="B75" s="3" t="n"/>
      <c r="C75" s="3" t="n"/>
      <c r="D75" s="3" t="n"/>
      <c r="E75" s="3" t="n"/>
      <c r="F75" s="3" t="n"/>
      <c r="G75" s="3" t="n"/>
      <c r="H75" s="3">
        <f>B75+C75-D75-E75+F75-G75</f>
        <v/>
      </c>
    </row>
    <row r="76" ht="18" customHeight="1">
      <c r="A76" s="4" t="n"/>
      <c r="B76" s="4" t="n"/>
      <c r="C76" s="4" t="n"/>
      <c r="D76" s="4" t="n"/>
      <c r="E76" s="4" t="n"/>
      <c r="F76" s="4" t="n"/>
      <c r="G76" s="4" t="n"/>
      <c r="H76" s="4">
        <f>B76+C76-D76-E76+F76-G76</f>
        <v/>
      </c>
    </row>
    <row r="77" ht="18" customHeight="1">
      <c r="A77" s="3" t="n"/>
      <c r="B77" s="3" t="n"/>
      <c r="C77" s="3" t="n"/>
      <c r="D77" s="3" t="n"/>
      <c r="E77" s="3" t="n"/>
      <c r="F77" s="3" t="n"/>
      <c r="G77" s="3" t="n"/>
      <c r="H77" s="3">
        <f>B77+C77-D77-E77+F77-G77</f>
        <v/>
      </c>
    </row>
    <row r="78" ht="18" customHeight="1">
      <c r="A78" s="4" t="n"/>
      <c r="B78" s="4" t="n"/>
      <c r="C78" s="4" t="n"/>
      <c r="D78" s="4" t="n"/>
      <c r="E78" s="4" t="n"/>
      <c r="F78" s="4" t="n"/>
      <c r="G78" s="4" t="n"/>
      <c r="H78" s="4">
        <f>B78+C78-D78-E78+F78-G78</f>
        <v/>
      </c>
    </row>
    <row r="79" ht="18" customHeight="1">
      <c r="A79" s="3" t="n"/>
      <c r="B79" s="3" t="n"/>
      <c r="C79" s="3" t="n"/>
      <c r="D79" s="3" t="n"/>
      <c r="E79" s="3" t="n"/>
      <c r="F79" s="3" t="n"/>
      <c r="G79" s="3" t="n"/>
      <c r="H79" s="3">
        <f>B79+C79-D79-E79+F79-G79</f>
        <v/>
      </c>
    </row>
    <row r="80" ht="18" customHeight="1">
      <c r="A80" s="4" t="n"/>
      <c r="B80" s="4" t="n"/>
      <c r="C80" s="4" t="n"/>
      <c r="D80" s="4" t="n"/>
      <c r="E80" s="4" t="n"/>
      <c r="F80" s="4" t="n"/>
      <c r="G80" s="4" t="n"/>
      <c r="H80" s="4">
        <f>B80+C80-D80-E80+F80-G80</f>
        <v/>
      </c>
    </row>
    <row r="81" ht="18" customHeight="1">
      <c r="A81" s="3" t="n"/>
      <c r="B81" s="3" t="n"/>
      <c r="C81" s="3" t="n"/>
      <c r="D81" s="3" t="n"/>
      <c r="E81" s="3" t="n"/>
      <c r="F81" s="3" t="n"/>
      <c r="G81" s="3" t="n"/>
      <c r="H81" s="3">
        <f>B81+C81-D81-E81+F81-G81</f>
        <v/>
      </c>
    </row>
    <row r="82" ht="18" customHeight="1">
      <c r="A82" s="4" t="n"/>
      <c r="B82" s="4" t="n"/>
      <c r="C82" s="4" t="n"/>
      <c r="D82" s="4" t="n"/>
      <c r="E82" s="4" t="n"/>
      <c r="F82" s="4" t="n"/>
      <c r="G82" s="4" t="n"/>
      <c r="H82" s="4">
        <f>B82+C82-D82-E82+F82-G82</f>
        <v/>
      </c>
    </row>
    <row r="83" ht="18" customHeight="1">
      <c r="A83" s="3" t="n"/>
      <c r="B83" s="3" t="n"/>
      <c r="C83" s="3" t="n"/>
      <c r="D83" s="3" t="n"/>
      <c r="E83" s="3" t="n"/>
      <c r="F83" s="3" t="n"/>
      <c r="G83" s="3" t="n"/>
      <c r="H83" s="3">
        <f>B83+C83-D83-E83+F83-G83</f>
        <v/>
      </c>
    </row>
    <row r="84" ht="18" customHeight="1">
      <c r="A84" s="4" t="n"/>
      <c r="B84" s="4" t="n"/>
      <c r="C84" s="4" t="n"/>
      <c r="D84" s="4" t="n"/>
      <c r="E84" s="4" t="n"/>
      <c r="F84" s="4" t="n"/>
      <c r="G84" s="4" t="n"/>
      <c r="H84" s="4">
        <f>B84+C84-D84-E84+F84-G84</f>
        <v/>
      </c>
    </row>
    <row r="85" ht="18" customHeight="1">
      <c r="A85" s="3" t="n"/>
      <c r="B85" s="3" t="n"/>
      <c r="C85" s="3" t="n"/>
      <c r="D85" s="3" t="n"/>
      <c r="E85" s="3" t="n"/>
      <c r="F85" s="3" t="n"/>
      <c r="G85" s="3" t="n"/>
      <c r="H85" s="3">
        <f>B85+C85-D85-E85+F85-G85</f>
        <v/>
      </c>
    </row>
    <row r="86" ht="18" customHeight="1">
      <c r="A86" s="4" t="n"/>
      <c r="B86" s="4" t="n"/>
      <c r="C86" s="4" t="n"/>
      <c r="D86" s="4" t="n"/>
      <c r="E86" s="4" t="n"/>
      <c r="F86" s="4" t="n"/>
      <c r="G86" s="4" t="n"/>
      <c r="H86" s="4">
        <f>B86+C86-D86-E86+F86-G86</f>
        <v/>
      </c>
    </row>
    <row r="87" ht="18" customHeight="1">
      <c r="A87" s="3" t="n"/>
      <c r="B87" s="3" t="n"/>
      <c r="C87" s="3" t="n"/>
      <c r="D87" s="3" t="n"/>
      <c r="E87" s="3" t="n"/>
      <c r="F87" s="3" t="n"/>
      <c r="G87" s="3" t="n"/>
      <c r="H87" s="3">
        <f>B87+C87-D87-E87+F87-G87</f>
        <v/>
      </c>
    </row>
    <row r="88" ht="18" customHeight="1">
      <c r="A88" s="4" t="n"/>
      <c r="B88" s="4" t="n"/>
      <c r="C88" s="4" t="n"/>
      <c r="D88" s="4" t="n"/>
      <c r="E88" s="4" t="n"/>
      <c r="F88" s="4" t="n"/>
      <c r="G88" s="4" t="n"/>
      <c r="H88" s="4">
        <f>B88+C88-D88-E88+F88-G88</f>
        <v/>
      </c>
    </row>
    <row r="89" ht="18" customHeight="1">
      <c r="A89" s="3" t="n"/>
      <c r="B89" s="3" t="n"/>
      <c r="C89" s="3" t="n"/>
      <c r="D89" s="3" t="n"/>
      <c r="E89" s="3" t="n"/>
      <c r="F89" s="3" t="n"/>
      <c r="G89" s="3" t="n"/>
      <c r="H89" s="3">
        <f>B89+C89-D89-E89+F89-G89</f>
        <v/>
      </c>
    </row>
    <row r="90" ht="18" customHeight="1">
      <c r="A90" s="4" t="n"/>
      <c r="B90" s="4" t="n"/>
      <c r="C90" s="4" t="n"/>
      <c r="D90" s="4" t="n"/>
      <c r="E90" s="4" t="n"/>
      <c r="F90" s="4" t="n"/>
      <c r="G90" s="4" t="n"/>
      <c r="H90" s="4">
        <f>B90+C90-D90-E90+F90-G90</f>
        <v/>
      </c>
    </row>
    <row r="91" ht="18" customHeight="1">
      <c r="A91" s="3" t="n"/>
      <c r="B91" s="3" t="n"/>
      <c r="C91" s="3" t="n"/>
      <c r="D91" s="3" t="n"/>
      <c r="E91" s="3" t="n"/>
      <c r="F91" s="3" t="n"/>
      <c r="G91" s="3" t="n"/>
      <c r="H91" s="3">
        <f>B91+C91-D91-E91+F91-G91</f>
        <v/>
      </c>
    </row>
    <row r="92" ht="18" customHeight="1">
      <c r="A92" s="4" t="n"/>
      <c r="B92" s="4" t="n"/>
      <c r="C92" s="4" t="n"/>
      <c r="D92" s="4" t="n"/>
      <c r="E92" s="4" t="n"/>
      <c r="F92" s="4" t="n"/>
      <c r="G92" s="4" t="n"/>
      <c r="H92" s="4">
        <f>B92+C92-D92-E92+F92-G92</f>
        <v/>
      </c>
    </row>
    <row r="93" ht="18" customHeight="1">
      <c r="A93" s="3" t="n"/>
      <c r="B93" s="3" t="n"/>
      <c r="C93" s="3" t="n"/>
      <c r="D93" s="3" t="n"/>
      <c r="E93" s="3" t="n"/>
      <c r="F93" s="3" t="n"/>
      <c r="G93" s="3" t="n"/>
      <c r="H93" s="3">
        <f>B93+C93-D93-E93+F93-G93</f>
        <v/>
      </c>
    </row>
    <row r="94" ht="18" customHeight="1">
      <c r="A94" s="4" t="n"/>
      <c r="B94" s="4" t="n"/>
      <c r="C94" s="4" t="n"/>
      <c r="D94" s="4" t="n"/>
      <c r="E94" s="4" t="n"/>
      <c r="F94" s="4" t="n"/>
      <c r="G94" s="4" t="n"/>
      <c r="H94" s="4">
        <f>B94+C94-D94-E94+F94-G94</f>
        <v/>
      </c>
    </row>
    <row r="95" ht="18" customHeight="1">
      <c r="A95" s="3" t="n"/>
      <c r="B95" s="3" t="n"/>
      <c r="C95" s="3" t="n"/>
      <c r="D95" s="3" t="n"/>
      <c r="E95" s="3" t="n"/>
      <c r="F95" s="3" t="n"/>
      <c r="G95" s="3" t="n"/>
      <c r="H95" s="3">
        <f>B95+C95-D95-E95+F95-G95</f>
        <v/>
      </c>
    </row>
    <row r="96" ht="18" customHeight="1">
      <c r="A96" s="4" t="n"/>
      <c r="B96" s="4" t="n"/>
      <c r="C96" s="4" t="n"/>
      <c r="D96" s="4" t="n"/>
      <c r="E96" s="4" t="n"/>
      <c r="F96" s="4" t="n"/>
      <c r="G96" s="4" t="n"/>
      <c r="H96" s="4">
        <f>B96+C96-D96-E96+F96-G96</f>
        <v/>
      </c>
    </row>
    <row r="97" ht="18" customHeight="1">
      <c r="A97" s="3" t="n"/>
      <c r="B97" s="3" t="n"/>
      <c r="C97" s="3" t="n"/>
      <c r="D97" s="3" t="n"/>
      <c r="E97" s="3" t="n"/>
      <c r="F97" s="3" t="n"/>
      <c r="G97" s="3" t="n"/>
      <c r="H97" s="3">
        <f>B97+C97-D97-E97+F97-G97</f>
        <v/>
      </c>
    </row>
    <row r="98" ht="18" customHeight="1">
      <c r="A98" s="4" t="n"/>
      <c r="B98" s="4" t="n"/>
      <c r="C98" s="4" t="n"/>
      <c r="D98" s="4" t="n"/>
      <c r="E98" s="4" t="n"/>
      <c r="F98" s="4" t="n"/>
      <c r="G98" s="4" t="n"/>
      <c r="H98" s="4">
        <f>B98+C98-D98-E98+F98-G98</f>
        <v/>
      </c>
    </row>
    <row r="99" ht="18" customHeight="1">
      <c r="A99" s="3" t="n"/>
      <c r="B99" s="3" t="n"/>
      <c r="C99" s="3" t="n"/>
      <c r="D99" s="3" t="n"/>
      <c r="E99" s="3" t="n"/>
      <c r="F99" s="3" t="n"/>
      <c r="G99" s="3" t="n"/>
      <c r="H99" s="3">
        <f>B99+C99-D99-E99+F99-G99</f>
        <v/>
      </c>
    </row>
    <row r="100" ht="18" customHeight="1">
      <c r="A100" s="4" t="n"/>
      <c r="B100" s="4" t="n"/>
      <c r="C100" s="4" t="n"/>
      <c r="D100" s="4" t="n"/>
      <c r="E100" s="4" t="n"/>
      <c r="F100" s="4" t="n"/>
      <c r="G100" s="4" t="n"/>
      <c r="H100" s="4">
        <f>B100+C100-D100-E100+F100-G100</f>
        <v/>
      </c>
    </row>
    <row r="101" ht="18" customHeight="1">
      <c r="A101" s="3" t="n"/>
      <c r="B101" s="3" t="n"/>
      <c r="C101" s="3" t="n"/>
      <c r="D101" s="3" t="n"/>
      <c r="E101" s="3" t="n"/>
      <c r="F101" s="3" t="n"/>
      <c r="G101" s="3" t="n"/>
      <c r="H101" s="3">
        <f>B101+C101-D101-E101+F101-G101</f>
        <v/>
      </c>
    </row>
    <row r="102" ht="18" customHeight="1">
      <c r="A102" s="4" t="n"/>
      <c r="B102" s="4" t="n"/>
      <c r="C102" s="4" t="n"/>
      <c r="D102" s="4" t="n"/>
      <c r="E102" s="4" t="n"/>
      <c r="F102" s="4" t="n"/>
      <c r="G102" s="4" t="n"/>
      <c r="H102" s="4">
        <f>B102+C102-D102-E102+F102-G102</f>
        <v/>
      </c>
    </row>
    <row r="103" ht="18" customHeight="1">
      <c r="A103" s="3" t="n"/>
      <c r="B103" s="3" t="n"/>
      <c r="C103" s="3" t="n"/>
      <c r="D103" s="3" t="n"/>
      <c r="E103" s="3" t="n"/>
      <c r="F103" s="3" t="n"/>
      <c r="G103" s="3" t="n"/>
      <c r="H103" s="3">
        <f>B103+C103-D103-E103+F103-G103</f>
        <v/>
      </c>
    </row>
    <row r="104" ht="18" customHeight="1">
      <c r="A104" s="4" t="n"/>
      <c r="B104" s="4" t="n"/>
      <c r="C104" s="4" t="n"/>
      <c r="D104" s="4" t="n"/>
      <c r="E104" s="4" t="n"/>
      <c r="F104" s="4" t="n"/>
      <c r="G104" s="4" t="n"/>
      <c r="H104" s="4">
        <f>B104+C104-D104-E104+F104-G104</f>
        <v/>
      </c>
    </row>
    <row r="105" ht="18" customHeight="1">
      <c r="A105" s="3" t="n"/>
      <c r="B105" s="3" t="n"/>
      <c r="C105" s="3" t="n"/>
      <c r="D105" s="3" t="n"/>
      <c r="E105" s="3" t="n"/>
      <c r="F105" s="3" t="n"/>
      <c r="G105" s="3" t="n"/>
      <c r="H105" s="3">
        <f>B105+C105-D105-E105+F105-G105</f>
        <v/>
      </c>
    </row>
    <row r="106" ht="18" customHeight="1">
      <c r="A106" s="4" t="n"/>
      <c r="B106" s="4" t="n"/>
      <c r="C106" s="4" t="n"/>
      <c r="D106" s="4" t="n"/>
      <c r="E106" s="4" t="n"/>
      <c r="F106" s="4" t="n"/>
      <c r="G106" s="4" t="n"/>
      <c r="H106" s="4">
        <f>B106+C106-D106-E106+F106-G106</f>
        <v/>
      </c>
    </row>
    <row r="107" ht="18" customHeight="1">
      <c r="A107" s="3" t="n"/>
      <c r="B107" s="3" t="n"/>
      <c r="C107" s="3" t="n"/>
      <c r="D107" s="3" t="n"/>
      <c r="E107" s="3" t="n"/>
      <c r="F107" s="3" t="n"/>
      <c r="G107" s="3" t="n"/>
      <c r="H107" s="3">
        <f>B107+C107-D107-E107+F107-G107</f>
        <v/>
      </c>
    </row>
    <row r="108" ht="18" customHeight="1">
      <c r="A108" s="4" t="n"/>
      <c r="B108" s="4" t="n"/>
      <c r="C108" s="4" t="n"/>
      <c r="D108" s="4" t="n"/>
      <c r="E108" s="4" t="n"/>
      <c r="F108" s="4" t="n"/>
      <c r="G108" s="4" t="n"/>
      <c r="H108" s="4">
        <f>B108+C108-D108-E108+F108-G108</f>
        <v/>
      </c>
    </row>
    <row r="109" ht="18" customHeight="1">
      <c r="A109" s="3" t="n"/>
      <c r="B109" s="3" t="n"/>
      <c r="C109" s="3" t="n"/>
      <c r="D109" s="3" t="n"/>
      <c r="E109" s="3" t="n"/>
      <c r="F109" s="3" t="n"/>
      <c r="G109" s="3" t="n"/>
      <c r="H109" s="3">
        <f>B109+C109-D109-E109+F109-G109</f>
        <v/>
      </c>
    </row>
    <row r="110" ht="18" customHeight="1">
      <c r="A110" s="4" t="n"/>
      <c r="B110" s="4" t="n"/>
      <c r="C110" s="4" t="n"/>
      <c r="D110" s="4" t="n"/>
      <c r="E110" s="4" t="n"/>
      <c r="F110" s="4" t="n"/>
      <c r="G110" s="4" t="n"/>
      <c r="H110" s="4">
        <f>B110+C110-D110-E110+F110-G110</f>
        <v/>
      </c>
    </row>
    <row r="111" ht="18" customHeight="1">
      <c r="A111" s="3" t="n"/>
      <c r="B111" s="3" t="n"/>
      <c r="C111" s="3" t="n"/>
      <c r="D111" s="3" t="n"/>
      <c r="E111" s="3" t="n"/>
      <c r="F111" s="3" t="n"/>
      <c r="G111" s="3" t="n"/>
      <c r="H111" s="3">
        <f>B111+C111-D111-E111+F111-G111</f>
        <v/>
      </c>
    </row>
    <row r="112" ht="18" customHeight="1">
      <c r="A112" s="4" t="n"/>
      <c r="B112" s="4" t="n"/>
      <c r="C112" s="4" t="n"/>
      <c r="D112" s="4" t="n"/>
      <c r="E112" s="4" t="n"/>
      <c r="F112" s="4" t="n"/>
      <c r="G112" s="4" t="n"/>
      <c r="H112" s="4">
        <f>B112+C112-D112-E112+F112-G112</f>
        <v/>
      </c>
    </row>
    <row r="113" ht="18" customHeight="1">
      <c r="A113" s="3" t="n"/>
      <c r="B113" s="3" t="n"/>
      <c r="C113" s="3" t="n"/>
      <c r="D113" s="3" t="n"/>
      <c r="E113" s="3" t="n"/>
      <c r="F113" s="3" t="n"/>
      <c r="G113" s="3" t="n"/>
      <c r="H113" s="3">
        <f>B113+C113-D113-E113+F113-G113</f>
        <v/>
      </c>
    </row>
    <row r="114" ht="18" customHeight="1">
      <c r="A114" s="4" t="n"/>
      <c r="B114" s="4" t="n"/>
      <c r="C114" s="4" t="n"/>
      <c r="D114" s="4" t="n"/>
      <c r="E114" s="4" t="n"/>
      <c r="F114" s="4" t="n"/>
      <c r="G114" s="4" t="n"/>
      <c r="H114" s="4">
        <f>B114+C114-D114-E114+F114-G114</f>
        <v/>
      </c>
    </row>
    <row r="115" ht="18" customHeight="1">
      <c r="A115" s="3" t="n"/>
      <c r="B115" s="3" t="n"/>
      <c r="C115" s="3" t="n"/>
      <c r="D115" s="3" t="n"/>
      <c r="E115" s="3" t="n"/>
      <c r="F115" s="3" t="n"/>
      <c r="G115" s="3" t="n"/>
      <c r="H115" s="3">
        <f>B115+C115-D115-E115+F115-G115</f>
        <v/>
      </c>
    </row>
    <row r="116" ht="18" customHeight="1">
      <c r="A116" s="4" t="n"/>
      <c r="B116" s="4" t="n"/>
      <c r="C116" s="4" t="n"/>
      <c r="D116" s="4" t="n"/>
      <c r="E116" s="4" t="n"/>
      <c r="F116" s="4" t="n"/>
      <c r="G116" s="4" t="n"/>
      <c r="H116" s="4">
        <f>B116+C116-D116-E116+F116-G116</f>
        <v/>
      </c>
    </row>
    <row r="117" ht="18" customHeight="1">
      <c r="A117" s="3" t="n"/>
      <c r="B117" s="3" t="n"/>
      <c r="C117" s="3" t="n"/>
      <c r="D117" s="3" t="n"/>
      <c r="E117" s="3" t="n"/>
      <c r="F117" s="3" t="n"/>
      <c r="G117" s="3" t="n"/>
      <c r="H117" s="3">
        <f>B117+C117-D117-E117+F117-G117</f>
        <v/>
      </c>
    </row>
    <row r="118" ht="18" customHeight="1">
      <c r="A118" s="4" t="n"/>
      <c r="B118" s="4" t="n"/>
      <c r="C118" s="4" t="n"/>
      <c r="D118" s="4" t="n"/>
      <c r="E118" s="4" t="n"/>
      <c r="F118" s="4" t="n"/>
      <c r="G118" s="4" t="n"/>
      <c r="H118" s="4">
        <f>B118+C118-D118-E118+F118-G118</f>
        <v/>
      </c>
    </row>
    <row r="119" ht="18" customHeight="1">
      <c r="A119" s="3" t="n"/>
      <c r="B119" s="3" t="n"/>
      <c r="C119" s="3" t="n"/>
      <c r="D119" s="3" t="n"/>
      <c r="E119" s="3" t="n"/>
      <c r="F119" s="3" t="n"/>
      <c r="G119" s="3" t="n"/>
      <c r="H119" s="3">
        <f>B119+C119-D119-E119+F119-G119</f>
        <v/>
      </c>
    </row>
    <row r="120" ht="18" customHeight="1">
      <c r="A120" s="4" t="n"/>
      <c r="B120" s="4" t="n"/>
      <c r="C120" s="4" t="n"/>
      <c r="D120" s="4" t="n"/>
      <c r="E120" s="4" t="n"/>
      <c r="F120" s="4" t="n"/>
      <c r="G120" s="4" t="n"/>
      <c r="H120" s="4">
        <f>B120+C120-D120-E120+F120-G120</f>
        <v/>
      </c>
    </row>
    <row r="121" ht="18" customHeight="1">
      <c r="A121" s="3" t="n"/>
      <c r="B121" s="3" t="n"/>
      <c r="C121" s="3" t="n"/>
      <c r="D121" s="3" t="n"/>
      <c r="E121" s="3" t="n"/>
      <c r="F121" s="3" t="n"/>
      <c r="G121" s="3" t="n"/>
      <c r="H121" s="3">
        <f>B121+C121-D121-E121+F121-G121</f>
        <v/>
      </c>
    </row>
    <row r="122" ht="18" customHeight="1">
      <c r="A122" s="4" t="n"/>
      <c r="B122" s="4" t="n"/>
      <c r="C122" s="4" t="n"/>
      <c r="D122" s="4" t="n"/>
      <c r="E122" s="4" t="n"/>
      <c r="F122" s="4" t="n"/>
      <c r="G122" s="4" t="n"/>
      <c r="H122" s="4">
        <f>B122+C122-D122-E122+F122-G122</f>
        <v/>
      </c>
    </row>
    <row r="123" ht="18" customHeight="1">
      <c r="A123" s="3" t="n"/>
      <c r="B123" s="3" t="n"/>
      <c r="C123" s="3" t="n"/>
      <c r="D123" s="3" t="n"/>
      <c r="E123" s="3" t="n"/>
      <c r="F123" s="3" t="n"/>
      <c r="G123" s="3" t="n"/>
      <c r="H123" s="3">
        <f>B123+C123-D123-E123+F123-G123</f>
        <v/>
      </c>
    </row>
    <row r="124" ht="18" customHeight="1">
      <c r="A124" s="4" t="n"/>
      <c r="B124" s="4" t="n"/>
      <c r="C124" s="4" t="n"/>
      <c r="D124" s="4" t="n"/>
      <c r="E124" s="4" t="n"/>
      <c r="F124" s="4" t="n"/>
      <c r="G124" s="4" t="n"/>
      <c r="H124" s="4">
        <f>B124+C124-D124-E124+F124-G124</f>
        <v/>
      </c>
    </row>
    <row r="125" ht="18" customHeight="1">
      <c r="A125" s="3" t="n"/>
      <c r="B125" s="3" t="n"/>
      <c r="C125" s="3" t="n"/>
      <c r="D125" s="3" t="n"/>
      <c r="E125" s="3" t="n"/>
      <c r="F125" s="3" t="n"/>
      <c r="G125" s="3" t="n"/>
      <c r="H125" s="3">
        <f>B125+C125-D125-E125+F125-G125</f>
        <v/>
      </c>
    </row>
    <row r="126" ht="18" customHeight="1">
      <c r="A126" s="4" t="n"/>
      <c r="B126" s="4" t="n"/>
      <c r="C126" s="4" t="n"/>
      <c r="D126" s="4" t="n"/>
      <c r="E126" s="4" t="n"/>
      <c r="F126" s="4" t="n"/>
      <c r="G126" s="4" t="n"/>
      <c r="H126" s="4">
        <f>B126+C126-D126-E126+F126-G126</f>
        <v/>
      </c>
    </row>
    <row r="127" ht="18" customHeight="1">
      <c r="A127" s="3" t="n"/>
      <c r="B127" s="3" t="n"/>
      <c r="C127" s="3" t="n"/>
      <c r="D127" s="3" t="n"/>
      <c r="E127" s="3" t="n"/>
      <c r="F127" s="3" t="n"/>
      <c r="G127" s="3" t="n"/>
      <c r="H127" s="3">
        <f>B127+C127-D127-E127+F127-G127</f>
        <v/>
      </c>
    </row>
    <row r="128" ht="18" customHeight="1">
      <c r="A128" s="4" t="n"/>
      <c r="B128" s="4" t="n"/>
      <c r="C128" s="4" t="n"/>
      <c r="D128" s="4" t="n"/>
      <c r="E128" s="4" t="n"/>
      <c r="F128" s="4" t="n"/>
      <c r="G128" s="4" t="n"/>
      <c r="H128" s="4">
        <f>B128+C128-D128-E128+F128-G128</f>
        <v/>
      </c>
    </row>
    <row r="129" ht="18" customHeight="1">
      <c r="A129" s="3" t="n"/>
      <c r="B129" s="3" t="n"/>
      <c r="C129" s="3" t="n"/>
      <c r="D129" s="3" t="n"/>
      <c r="E129" s="3" t="n"/>
      <c r="F129" s="3" t="n"/>
      <c r="G129" s="3" t="n"/>
      <c r="H129" s="3">
        <f>B129+C129-D129-E129+F129-G129</f>
        <v/>
      </c>
    </row>
    <row r="130" ht="18" customHeight="1">
      <c r="A130" s="4" t="n"/>
      <c r="B130" s="4" t="n"/>
      <c r="C130" s="4" t="n"/>
      <c r="D130" s="4" t="n"/>
      <c r="E130" s="4" t="n"/>
      <c r="F130" s="4" t="n"/>
      <c r="G130" s="4" t="n"/>
      <c r="H130" s="4">
        <f>B130+C130-D130-E130+F130-G130</f>
        <v/>
      </c>
    </row>
    <row r="131" ht="18" customHeight="1">
      <c r="A131" s="3" t="n"/>
      <c r="B131" s="3" t="n"/>
      <c r="C131" s="3" t="n"/>
      <c r="D131" s="3" t="n"/>
      <c r="E131" s="3" t="n"/>
      <c r="F131" s="3" t="n"/>
      <c r="G131" s="3" t="n"/>
      <c r="H131" s="3">
        <f>B131+C131-D131-E131+F131-G131</f>
        <v/>
      </c>
    </row>
    <row r="132" ht="18" customHeight="1">
      <c r="A132" s="4" t="n"/>
      <c r="B132" s="4" t="n"/>
      <c r="C132" s="4" t="n"/>
      <c r="D132" s="4" t="n"/>
      <c r="E132" s="4" t="n"/>
      <c r="F132" s="4" t="n"/>
      <c r="G132" s="4" t="n"/>
      <c r="H132" s="4">
        <f>B132+C132-D132-E132+F132-G132</f>
        <v/>
      </c>
    </row>
    <row r="133" ht="18" customHeight="1">
      <c r="A133" s="3" t="n"/>
      <c r="B133" s="3" t="n"/>
      <c r="C133" s="3" t="n"/>
      <c r="D133" s="3" t="n"/>
      <c r="E133" s="3" t="n"/>
      <c r="F133" s="3" t="n"/>
      <c r="G133" s="3" t="n"/>
      <c r="H133" s="3">
        <f>B133+C133-D133-E133+F133-G133</f>
        <v/>
      </c>
    </row>
    <row r="134" ht="18" customHeight="1">
      <c r="A134" s="4" t="n"/>
      <c r="B134" s="4" t="n"/>
      <c r="C134" s="4" t="n"/>
      <c r="D134" s="4" t="n"/>
      <c r="E134" s="4" t="n"/>
      <c r="F134" s="4" t="n"/>
      <c r="G134" s="4" t="n"/>
      <c r="H134" s="4">
        <f>B134+C134-D134-E134+F134-G134</f>
        <v/>
      </c>
    </row>
    <row r="135" ht="18" customHeight="1">
      <c r="A135" s="3" t="n"/>
      <c r="B135" s="3" t="n"/>
      <c r="C135" s="3" t="n"/>
      <c r="D135" s="3" t="n"/>
      <c r="E135" s="3" t="n"/>
      <c r="F135" s="3" t="n"/>
      <c r="G135" s="3" t="n"/>
      <c r="H135" s="3">
        <f>B135+C135-D135-E135+F135-G135</f>
        <v/>
      </c>
    </row>
    <row r="136" ht="18" customHeight="1">
      <c r="A136" s="4" t="n"/>
      <c r="B136" s="4" t="n"/>
      <c r="C136" s="4" t="n"/>
      <c r="D136" s="4" t="n"/>
      <c r="E136" s="4" t="n"/>
      <c r="F136" s="4" t="n"/>
      <c r="G136" s="4" t="n"/>
      <c r="H136" s="4">
        <f>B136+C136-D136-E136+F136-G136</f>
        <v/>
      </c>
    </row>
    <row r="137" ht="18" customHeight="1">
      <c r="A137" s="3" t="n"/>
      <c r="B137" s="3" t="n"/>
      <c r="C137" s="3" t="n"/>
      <c r="D137" s="3" t="n"/>
      <c r="E137" s="3" t="n"/>
      <c r="F137" s="3" t="n"/>
      <c r="G137" s="3" t="n"/>
      <c r="H137" s="3">
        <f>B137+C137-D137-E137+F137-G137</f>
        <v/>
      </c>
    </row>
    <row r="138" ht="18" customHeight="1">
      <c r="A138" s="4" t="n"/>
      <c r="B138" s="4" t="n"/>
      <c r="C138" s="4" t="n"/>
      <c r="D138" s="4" t="n"/>
      <c r="E138" s="4" t="n"/>
      <c r="F138" s="4" t="n"/>
      <c r="G138" s="4" t="n"/>
      <c r="H138" s="4">
        <f>B138+C138-D138-E138+F138-G138</f>
        <v/>
      </c>
    </row>
    <row r="139" ht="18" customHeight="1">
      <c r="A139" s="3" t="n"/>
      <c r="B139" s="3" t="n"/>
      <c r="C139" s="3" t="n"/>
      <c r="D139" s="3" t="n"/>
      <c r="E139" s="3" t="n"/>
      <c r="F139" s="3" t="n"/>
      <c r="G139" s="3" t="n"/>
      <c r="H139" s="3">
        <f>B139+C139-D139-E139+F139-G139</f>
        <v/>
      </c>
    </row>
    <row r="140" ht="18" customHeight="1">
      <c r="A140" s="4" t="n"/>
      <c r="B140" s="4" t="n"/>
      <c r="C140" s="4" t="n"/>
      <c r="D140" s="4" t="n"/>
      <c r="E140" s="4" t="n"/>
      <c r="F140" s="4" t="n"/>
      <c r="G140" s="4" t="n"/>
      <c r="H140" s="4">
        <f>B140+C140-D140-E140+F140-G140</f>
        <v/>
      </c>
    </row>
    <row r="141" ht="18" customHeight="1">
      <c r="A141" s="3" t="n"/>
      <c r="B141" s="3" t="n"/>
      <c r="C141" s="3" t="n"/>
      <c r="D141" s="3" t="n"/>
      <c r="E141" s="3" t="n"/>
      <c r="F141" s="3" t="n"/>
      <c r="G141" s="3" t="n"/>
      <c r="H141" s="3">
        <f>B141+C141-D141-E141+F141-G141</f>
        <v/>
      </c>
    </row>
    <row r="142" ht="18" customHeight="1">
      <c r="A142" s="4" t="n"/>
      <c r="B142" s="4" t="n"/>
      <c r="C142" s="4" t="n"/>
      <c r="D142" s="4" t="n"/>
      <c r="E142" s="4" t="n"/>
      <c r="F142" s="4" t="n"/>
      <c r="G142" s="4" t="n"/>
      <c r="H142" s="4">
        <f>B142+C142-D142-E142+F142-G142</f>
        <v/>
      </c>
    </row>
    <row r="143" ht="18" customHeight="1">
      <c r="A143" s="3" t="n"/>
      <c r="B143" s="3" t="n"/>
      <c r="C143" s="3" t="n"/>
      <c r="D143" s="3" t="n"/>
      <c r="E143" s="3" t="n"/>
      <c r="F143" s="3" t="n"/>
      <c r="G143" s="3" t="n"/>
      <c r="H143" s="3">
        <f>B143+C143-D143-E143+F143-G143</f>
        <v/>
      </c>
    </row>
    <row r="144" ht="18" customHeight="1">
      <c r="A144" s="4" t="n"/>
      <c r="B144" s="4" t="n"/>
      <c r="C144" s="4" t="n"/>
      <c r="D144" s="4" t="n"/>
      <c r="E144" s="4" t="n"/>
      <c r="F144" s="4" t="n"/>
      <c r="G144" s="4" t="n"/>
      <c r="H144" s="4">
        <f>B144+C144-D144-E144+F144-G144</f>
        <v/>
      </c>
    </row>
    <row r="145" ht="18" customHeight="1">
      <c r="A145" s="3" t="n"/>
      <c r="B145" s="3" t="n"/>
      <c r="C145" s="3" t="n"/>
      <c r="D145" s="3" t="n"/>
      <c r="E145" s="3" t="n"/>
      <c r="F145" s="3" t="n"/>
      <c r="G145" s="3" t="n"/>
      <c r="H145" s="3">
        <f>B145+C145-D145-E145+F145-G145</f>
        <v/>
      </c>
    </row>
    <row r="146" ht="18" customHeight="1">
      <c r="A146" s="4" t="n"/>
      <c r="B146" s="4" t="n"/>
      <c r="C146" s="4" t="n"/>
      <c r="D146" s="4" t="n"/>
      <c r="E146" s="4" t="n"/>
      <c r="F146" s="4" t="n"/>
      <c r="G146" s="4" t="n"/>
      <c r="H146" s="4">
        <f>B146+C146-D146-E146+F146-G146</f>
        <v/>
      </c>
    </row>
    <row r="147" ht="18" customHeight="1">
      <c r="A147" s="3" t="n"/>
      <c r="B147" s="3" t="n"/>
      <c r="C147" s="3" t="n"/>
      <c r="D147" s="3" t="n"/>
      <c r="E147" s="3" t="n"/>
      <c r="F147" s="3" t="n"/>
      <c r="G147" s="3" t="n"/>
      <c r="H147" s="3">
        <f>B147+C147-D147-E147+F147-G147</f>
        <v/>
      </c>
    </row>
    <row r="148" ht="18" customHeight="1">
      <c r="A148" s="4" t="n"/>
      <c r="B148" s="4" t="n"/>
      <c r="C148" s="4" t="n"/>
      <c r="D148" s="4" t="n"/>
      <c r="E148" s="4" t="n"/>
      <c r="F148" s="4" t="n"/>
      <c r="G148" s="4" t="n"/>
      <c r="H148" s="4">
        <f>B148+C148-D148-E148+F148-G148</f>
        <v/>
      </c>
    </row>
    <row r="149" ht="18" customHeight="1">
      <c r="A149" s="3" t="n"/>
      <c r="B149" s="3" t="n"/>
      <c r="C149" s="3" t="n"/>
      <c r="D149" s="3" t="n"/>
      <c r="E149" s="3" t="n"/>
      <c r="F149" s="3" t="n"/>
      <c r="G149" s="3" t="n"/>
      <c r="H149" s="3">
        <f>B149+C149-D149-E149+F149-G149</f>
        <v/>
      </c>
    </row>
    <row r="150" ht="18" customHeight="1">
      <c r="A150" s="4" t="n"/>
      <c r="B150" s="4" t="n"/>
      <c r="C150" s="4" t="n"/>
      <c r="D150" s="4" t="n"/>
      <c r="E150" s="4" t="n"/>
      <c r="F150" s="4" t="n"/>
      <c r="G150" s="4" t="n"/>
      <c r="H150" s="4">
        <f>B150+C150-D150-E150+F150-G150</f>
        <v/>
      </c>
    </row>
    <row r="151" ht="18" customHeight="1">
      <c r="A151" s="3" t="n"/>
      <c r="B151" s="3" t="n"/>
      <c r="C151" s="3" t="n"/>
      <c r="D151" s="3" t="n"/>
      <c r="E151" s="3" t="n"/>
      <c r="F151" s="3" t="n"/>
      <c r="G151" s="3" t="n"/>
      <c r="H151" s="3">
        <f>B151+C151-D151-E151+F151-G151</f>
        <v/>
      </c>
    </row>
    <row r="152" ht="18" customHeight="1">
      <c r="A152" s="4" t="n"/>
      <c r="B152" s="4" t="n"/>
      <c r="C152" s="4" t="n"/>
      <c r="D152" s="4" t="n"/>
      <c r="E152" s="4" t="n"/>
      <c r="F152" s="4" t="n"/>
      <c r="G152" s="4" t="n"/>
      <c r="H152" s="4">
        <f>B152+C152-D152-E152+F152-G152</f>
        <v/>
      </c>
    </row>
    <row r="153" ht="18" customHeight="1">
      <c r="A153" s="3" t="n"/>
      <c r="B153" s="3" t="n"/>
      <c r="C153" s="3" t="n"/>
      <c r="D153" s="3" t="n"/>
      <c r="E153" s="3" t="n"/>
      <c r="F153" s="3" t="n"/>
      <c r="G153" s="3" t="n"/>
      <c r="H153" s="3">
        <f>B153+C153-D153-E153+F153-G153</f>
        <v/>
      </c>
    </row>
    <row r="154" ht="18" customHeight="1">
      <c r="A154" s="4" t="n"/>
      <c r="B154" s="4" t="n"/>
      <c r="C154" s="4" t="n"/>
      <c r="D154" s="4" t="n"/>
      <c r="E154" s="4" t="n"/>
      <c r="F154" s="4" t="n"/>
      <c r="G154" s="4" t="n"/>
      <c r="H154" s="4">
        <f>B154+C154-D154-E154+F154-G154</f>
        <v/>
      </c>
    </row>
    <row r="155" ht="18" customHeight="1">
      <c r="A155" s="3" t="n"/>
      <c r="B155" s="3" t="n"/>
      <c r="C155" s="3" t="n"/>
      <c r="D155" s="3" t="n"/>
      <c r="E155" s="3" t="n"/>
      <c r="F155" s="3" t="n"/>
      <c r="G155" s="3" t="n"/>
      <c r="H155" s="3">
        <f>B155+C155-D155-E155+F155-G155</f>
        <v/>
      </c>
    </row>
    <row r="156" ht="18" customHeight="1">
      <c r="A156" s="4" t="n"/>
      <c r="B156" s="4" t="n"/>
      <c r="C156" s="4" t="n"/>
      <c r="D156" s="4" t="n"/>
      <c r="E156" s="4" t="n"/>
      <c r="F156" s="4" t="n"/>
      <c r="G156" s="4" t="n"/>
      <c r="H156" s="4">
        <f>B156+C156-D156-E156+F156-G156</f>
        <v/>
      </c>
    </row>
    <row r="157" ht="18" customHeight="1">
      <c r="A157" s="3" t="n"/>
      <c r="B157" s="3" t="n"/>
      <c r="C157" s="3" t="n"/>
      <c r="D157" s="3" t="n"/>
      <c r="E157" s="3" t="n"/>
      <c r="F157" s="3" t="n"/>
      <c r="G157" s="3" t="n"/>
      <c r="H157" s="3">
        <f>B157+C157-D157-E157+F157-G157</f>
        <v/>
      </c>
    </row>
    <row r="158" ht="18" customHeight="1">
      <c r="A158" s="4" t="n"/>
      <c r="B158" s="4" t="n"/>
      <c r="C158" s="4" t="n"/>
      <c r="D158" s="4" t="n"/>
      <c r="E158" s="4" t="n"/>
      <c r="F158" s="4" t="n"/>
      <c r="G158" s="4" t="n"/>
      <c r="H158" s="4">
        <f>B158+C158-D158-E158+F158-G158</f>
        <v/>
      </c>
    </row>
    <row r="159" ht="18" customHeight="1">
      <c r="A159" s="3" t="n"/>
      <c r="B159" s="3" t="n"/>
      <c r="C159" s="3" t="n"/>
      <c r="D159" s="3" t="n"/>
      <c r="E159" s="3" t="n"/>
      <c r="F159" s="3" t="n"/>
      <c r="G159" s="3" t="n"/>
      <c r="H159" s="3">
        <f>B159+C159-D159-E159+F159-G159</f>
        <v/>
      </c>
    </row>
    <row r="160" ht="18" customHeight="1">
      <c r="A160" s="4" t="n"/>
      <c r="B160" s="4" t="n"/>
      <c r="C160" s="4" t="n"/>
      <c r="D160" s="4" t="n"/>
      <c r="E160" s="4" t="n"/>
      <c r="F160" s="4" t="n"/>
      <c r="G160" s="4" t="n"/>
      <c r="H160" s="4">
        <f>B160+C160-D160-E160+F160-G160</f>
        <v/>
      </c>
    </row>
    <row r="161" ht="18" customHeight="1">
      <c r="A161" s="3" t="n"/>
      <c r="B161" s="3" t="n"/>
      <c r="C161" s="3" t="n"/>
      <c r="D161" s="3" t="n"/>
      <c r="E161" s="3" t="n"/>
      <c r="F161" s="3" t="n"/>
      <c r="G161" s="3" t="n"/>
      <c r="H161" s="3">
        <f>B161+C161-D161-E161+F161-G161</f>
        <v/>
      </c>
    </row>
    <row r="162" ht="18" customHeight="1">
      <c r="A162" s="4" t="n"/>
      <c r="B162" s="4" t="n"/>
      <c r="C162" s="4" t="n"/>
      <c r="D162" s="4" t="n"/>
      <c r="E162" s="4" t="n"/>
      <c r="F162" s="4" t="n"/>
      <c r="G162" s="4" t="n"/>
      <c r="H162" s="4">
        <f>B162+C162-D162-E162+F162-G162</f>
        <v/>
      </c>
    </row>
    <row r="163" ht="18" customHeight="1">
      <c r="A163" s="3" t="n"/>
      <c r="B163" s="3" t="n"/>
      <c r="C163" s="3" t="n"/>
      <c r="D163" s="3" t="n"/>
      <c r="E163" s="3" t="n"/>
      <c r="F163" s="3" t="n"/>
      <c r="G163" s="3" t="n"/>
      <c r="H163" s="3">
        <f>B163+C163-D163-E163+F163-G163</f>
        <v/>
      </c>
    </row>
    <row r="164" ht="18" customHeight="1">
      <c r="A164" s="4" t="n"/>
      <c r="B164" s="4" t="n"/>
      <c r="C164" s="4" t="n"/>
      <c r="D164" s="4" t="n"/>
      <c r="E164" s="4" t="n"/>
      <c r="F164" s="4" t="n"/>
      <c r="G164" s="4" t="n"/>
      <c r="H164" s="4">
        <f>B164+C164-D164-E164+F164-G164</f>
        <v/>
      </c>
    </row>
    <row r="165" ht="18" customHeight="1">
      <c r="A165" s="3" t="n"/>
      <c r="B165" s="3" t="n"/>
      <c r="C165" s="3" t="n"/>
      <c r="D165" s="3" t="n"/>
      <c r="E165" s="3" t="n"/>
      <c r="F165" s="3" t="n"/>
      <c r="G165" s="3" t="n"/>
      <c r="H165" s="3">
        <f>B165+C165-D165-E165+F165-G165</f>
        <v/>
      </c>
    </row>
    <row r="166" ht="18" customHeight="1">
      <c r="A166" s="4" t="n"/>
      <c r="B166" s="4" t="n"/>
      <c r="C166" s="4" t="n"/>
      <c r="D166" s="4" t="n"/>
      <c r="E166" s="4" t="n"/>
      <c r="F166" s="4" t="n"/>
      <c r="G166" s="4" t="n"/>
      <c r="H166" s="4">
        <f>B166+C166-D166-E166+F166-G166</f>
        <v/>
      </c>
    </row>
    <row r="167" ht="18" customHeight="1">
      <c r="A167" s="3" t="n"/>
      <c r="B167" s="3" t="n"/>
      <c r="C167" s="3" t="n"/>
      <c r="D167" s="3" t="n"/>
      <c r="E167" s="3" t="n"/>
      <c r="F167" s="3" t="n"/>
      <c r="G167" s="3" t="n"/>
      <c r="H167" s="3">
        <f>B167+C167-D167-E167+F167-G167</f>
        <v/>
      </c>
    </row>
    <row r="168" ht="18" customHeight="1">
      <c r="A168" s="4" t="n"/>
      <c r="B168" s="4" t="n"/>
      <c r="C168" s="4" t="n"/>
      <c r="D168" s="4" t="n"/>
      <c r="E168" s="4" t="n"/>
      <c r="F168" s="4" t="n"/>
      <c r="G168" s="4" t="n"/>
      <c r="H168" s="4">
        <f>B168+C168-D168-E168+F168-G168</f>
        <v/>
      </c>
    </row>
    <row r="169" ht="18" customHeight="1">
      <c r="A169" s="3" t="n"/>
      <c r="B169" s="3" t="n"/>
      <c r="C169" s="3" t="n"/>
      <c r="D169" s="3" t="n"/>
      <c r="E169" s="3" t="n"/>
      <c r="F169" s="3" t="n"/>
      <c r="G169" s="3" t="n"/>
      <c r="H169" s="3">
        <f>B169+C169-D169-E169+F169-G169</f>
        <v/>
      </c>
    </row>
    <row r="170" ht="18" customHeight="1">
      <c r="A170" s="4" t="n"/>
      <c r="B170" s="4" t="n"/>
      <c r="C170" s="4" t="n"/>
      <c r="D170" s="4" t="n"/>
      <c r="E170" s="4" t="n"/>
      <c r="F170" s="4" t="n"/>
      <c r="G170" s="4" t="n"/>
      <c r="H170" s="4">
        <f>B170+C170-D170-E170+F170-G170</f>
        <v/>
      </c>
    </row>
    <row r="171" ht="18" customHeight="1">
      <c r="A171" s="3" t="n"/>
      <c r="B171" s="3" t="n"/>
      <c r="C171" s="3" t="n"/>
      <c r="D171" s="3" t="n"/>
      <c r="E171" s="3" t="n"/>
      <c r="F171" s="3" t="n"/>
      <c r="G171" s="3" t="n"/>
      <c r="H171" s="3">
        <f>B171+C171-D171-E171+F171-G171</f>
        <v/>
      </c>
    </row>
    <row r="172" ht="18" customHeight="1">
      <c r="A172" s="4" t="n"/>
      <c r="B172" s="4" t="n"/>
      <c r="C172" s="4" t="n"/>
      <c r="D172" s="4" t="n"/>
      <c r="E172" s="4" t="n"/>
      <c r="F172" s="4" t="n"/>
      <c r="G172" s="4" t="n"/>
      <c r="H172" s="4">
        <f>B172+C172-D172-E172+F172-G172</f>
        <v/>
      </c>
    </row>
    <row r="173" ht="18" customHeight="1">
      <c r="A173" s="3" t="n"/>
      <c r="B173" s="3" t="n"/>
      <c r="C173" s="3" t="n"/>
      <c r="D173" s="3" t="n"/>
      <c r="E173" s="3" t="n"/>
      <c r="F173" s="3" t="n"/>
      <c r="G173" s="3" t="n"/>
      <c r="H173" s="3">
        <f>B173+C173-D173-E173+F173-G173</f>
        <v/>
      </c>
    </row>
    <row r="174" ht="18" customHeight="1">
      <c r="A174" s="4" t="n"/>
      <c r="B174" s="4" t="n"/>
      <c r="C174" s="4" t="n"/>
      <c r="D174" s="4" t="n"/>
      <c r="E174" s="4" t="n"/>
      <c r="F174" s="4" t="n"/>
      <c r="G174" s="4" t="n"/>
      <c r="H174" s="4">
        <f>B174+C174-D174-E174+F174-G174</f>
        <v/>
      </c>
    </row>
    <row r="175" ht="18" customHeight="1">
      <c r="A175" s="3" t="n"/>
      <c r="B175" s="3" t="n"/>
      <c r="C175" s="3" t="n"/>
      <c r="D175" s="3" t="n"/>
      <c r="E175" s="3" t="n"/>
      <c r="F175" s="3" t="n"/>
      <c r="G175" s="3" t="n"/>
      <c r="H175" s="3">
        <f>B175+C175-D175-E175+F175-G175</f>
        <v/>
      </c>
    </row>
    <row r="176" ht="18" customHeight="1">
      <c r="A176" s="4" t="n"/>
      <c r="B176" s="4" t="n"/>
      <c r="C176" s="4" t="n"/>
      <c r="D176" s="4" t="n"/>
      <c r="E176" s="4" t="n"/>
      <c r="F176" s="4" t="n"/>
      <c r="G176" s="4" t="n"/>
      <c r="H176" s="4">
        <f>B176+C176-D176-E176+F176-G176</f>
        <v/>
      </c>
    </row>
    <row r="177" ht="18" customHeight="1">
      <c r="A177" s="3" t="n"/>
      <c r="B177" s="3" t="n"/>
      <c r="C177" s="3" t="n"/>
      <c r="D177" s="3" t="n"/>
      <c r="E177" s="3" t="n"/>
      <c r="F177" s="3" t="n"/>
      <c r="G177" s="3" t="n"/>
      <c r="H177" s="3">
        <f>B177+C177-D177-E177+F177-G177</f>
        <v/>
      </c>
    </row>
    <row r="178" ht="18" customHeight="1">
      <c r="A178" s="4" t="n"/>
      <c r="B178" s="4" t="n"/>
      <c r="C178" s="4" t="n"/>
      <c r="D178" s="4" t="n"/>
      <c r="E178" s="4" t="n"/>
      <c r="F178" s="4" t="n"/>
      <c r="G178" s="4" t="n"/>
      <c r="H178" s="4">
        <f>B178+C178-D178-E178+F178-G178</f>
        <v/>
      </c>
    </row>
    <row r="179" ht="18" customHeight="1">
      <c r="A179" s="3" t="n"/>
      <c r="B179" s="3" t="n"/>
      <c r="C179" s="3" t="n"/>
      <c r="D179" s="3" t="n"/>
      <c r="E179" s="3" t="n"/>
      <c r="F179" s="3" t="n"/>
      <c r="G179" s="3" t="n"/>
      <c r="H179" s="3">
        <f>B179+C179-D179-E179+F179-G179</f>
        <v/>
      </c>
    </row>
    <row r="180" ht="18" customHeight="1">
      <c r="A180" s="4" t="n"/>
      <c r="B180" s="4" t="n"/>
      <c r="C180" s="4" t="n"/>
      <c r="D180" s="4" t="n"/>
      <c r="E180" s="4" t="n"/>
      <c r="F180" s="4" t="n"/>
      <c r="G180" s="4" t="n"/>
      <c r="H180" s="4">
        <f>B180+C180-D180-E180+F180-G180</f>
        <v/>
      </c>
    </row>
    <row r="181" ht="18" customHeight="1">
      <c r="A181" s="3" t="n"/>
      <c r="B181" s="3" t="n"/>
      <c r="C181" s="3" t="n"/>
      <c r="D181" s="3" t="n"/>
      <c r="E181" s="3" t="n"/>
      <c r="F181" s="3" t="n"/>
      <c r="G181" s="3" t="n"/>
      <c r="H181" s="3">
        <f>B181+C181-D181-E181+F181-G181</f>
        <v/>
      </c>
    </row>
    <row r="182" ht="18" customHeight="1">
      <c r="A182" s="4" t="n"/>
      <c r="B182" s="4" t="n"/>
      <c r="C182" s="4" t="n"/>
      <c r="D182" s="4" t="n"/>
      <c r="E182" s="4" t="n"/>
      <c r="F182" s="4" t="n"/>
      <c r="G182" s="4" t="n"/>
      <c r="H182" s="4">
        <f>B182+C182-D182-E182+F182-G182</f>
        <v/>
      </c>
    </row>
    <row r="183" ht="18" customHeight="1">
      <c r="A183" s="3" t="n"/>
      <c r="B183" s="3" t="n"/>
      <c r="C183" s="3" t="n"/>
      <c r="D183" s="3" t="n"/>
      <c r="E183" s="3" t="n"/>
      <c r="F183" s="3" t="n"/>
      <c r="G183" s="3" t="n"/>
      <c r="H183" s="3">
        <f>B183+C183-D183-E183+F183-G183</f>
        <v/>
      </c>
    </row>
    <row r="184" ht="18" customHeight="1">
      <c r="A184" s="4" t="n"/>
      <c r="B184" s="4" t="n"/>
      <c r="C184" s="4" t="n"/>
      <c r="D184" s="4" t="n"/>
      <c r="E184" s="4" t="n"/>
      <c r="F184" s="4" t="n"/>
      <c r="G184" s="4" t="n"/>
      <c r="H184" s="4">
        <f>B184+C184-D184-E184+F184-G184</f>
        <v/>
      </c>
    </row>
    <row r="185" ht="18" customHeight="1">
      <c r="A185" s="3" t="n"/>
      <c r="B185" s="3" t="n"/>
      <c r="C185" s="3" t="n"/>
      <c r="D185" s="3" t="n"/>
      <c r="E185" s="3" t="n"/>
      <c r="F185" s="3" t="n"/>
      <c r="G185" s="3" t="n"/>
      <c r="H185" s="3">
        <f>B185+C185-D185-E185+F185-G185</f>
        <v/>
      </c>
    </row>
    <row r="186" ht="18" customHeight="1">
      <c r="A186" s="4" t="n"/>
      <c r="B186" s="4" t="n"/>
      <c r="C186" s="4" t="n"/>
      <c r="D186" s="4" t="n"/>
      <c r="E186" s="4" t="n"/>
      <c r="F186" s="4" t="n"/>
      <c r="G186" s="4" t="n"/>
      <c r="H186" s="4">
        <f>B186+C186-D186-E186+F186-G186</f>
        <v/>
      </c>
    </row>
    <row r="187" ht="18" customHeight="1">
      <c r="A187" s="3" t="n"/>
      <c r="B187" s="3" t="n"/>
      <c r="C187" s="3" t="n"/>
      <c r="D187" s="3" t="n"/>
      <c r="E187" s="3" t="n"/>
      <c r="F187" s="3" t="n"/>
      <c r="G187" s="3" t="n"/>
      <c r="H187" s="3">
        <f>B187+C187-D187-E187+F187-G187</f>
        <v/>
      </c>
    </row>
    <row r="188" ht="18" customHeight="1">
      <c r="A188" s="4" t="n"/>
      <c r="B188" s="4" t="n"/>
      <c r="C188" s="4" t="n"/>
      <c r="D188" s="4" t="n"/>
      <c r="E188" s="4" t="n"/>
      <c r="F188" s="4" t="n"/>
      <c r="G188" s="4" t="n"/>
      <c r="H188" s="4">
        <f>B188+C188-D188-E188+F188-G188</f>
        <v/>
      </c>
    </row>
    <row r="189" ht="18" customHeight="1">
      <c r="A189" s="3" t="n"/>
      <c r="B189" s="3" t="n"/>
      <c r="C189" s="3" t="n"/>
      <c r="D189" s="3" t="n"/>
      <c r="E189" s="3" t="n"/>
      <c r="F189" s="3" t="n"/>
      <c r="G189" s="3" t="n"/>
      <c r="H189" s="3">
        <f>B189+C189-D189-E189+F189-G189</f>
        <v/>
      </c>
    </row>
    <row r="190" ht="18" customHeight="1">
      <c r="A190" s="4" t="n"/>
      <c r="B190" s="4" t="n"/>
      <c r="C190" s="4" t="n"/>
      <c r="D190" s="4" t="n"/>
      <c r="E190" s="4" t="n"/>
      <c r="F190" s="4" t="n"/>
      <c r="G190" s="4" t="n"/>
      <c r="H190" s="4">
        <f>B190+C190-D190-E190+F190-G190</f>
        <v/>
      </c>
    </row>
    <row r="191" ht="18" customHeight="1">
      <c r="A191" s="3" t="n"/>
      <c r="B191" s="3" t="n"/>
      <c r="C191" s="3" t="n"/>
      <c r="D191" s="3" t="n"/>
      <c r="E191" s="3" t="n"/>
      <c r="F191" s="3" t="n"/>
      <c r="G191" s="3" t="n"/>
      <c r="H191" s="3">
        <f>B191+C191-D191-E191+F191-G191</f>
        <v/>
      </c>
    </row>
    <row r="192" ht="18" customHeight="1">
      <c r="A192" s="4" t="n"/>
      <c r="B192" s="4" t="n"/>
      <c r="C192" s="4" t="n"/>
      <c r="D192" s="4" t="n"/>
      <c r="E192" s="4" t="n"/>
      <c r="F192" s="4" t="n"/>
      <c r="G192" s="4" t="n"/>
      <c r="H192" s="4">
        <f>B192+C192-D192-E192+F192-G192</f>
        <v/>
      </c>
    </row>
    <row r="193" ht="18" customHeight="1">
      <c r="A193" s="3" t="n"/>
      <c r="B193" s="3" t="n"/>
      <c r="C193" s="3" t="n"/>
      <c r="D193" s="3" t="n"/>
      <c r="E193" s="3" t="n"/>
      <c r="F193" s="3" t="n"/>
      <c r="G193" s="3" t="n"/>
      <c r="H193" s="3">
        <f>B193+C193-D193-E193+F193-G193</f>
        <v/>
      </c>
    </row>
    <row r="194" ht="18" customHeight="1">
      <c r="A194" s="4" t="n"/>
      <c r="B194" s="4" t="n"/>
      <c r="C194" s="4" t="n"/>
      <c r="D194" s="4" t="n"/>
      <c r="E194" s="4" t="n"/>
      <c r="F194" s="4" t="n"/>
      <c r="G194" s="4" t="n"/>
      <c r="H194" s="4">
        <f>B194+C194-D194-E194+F194-G194</f>
        <v/>
      </c>
    </row>
    <row r="195" ht="18" customHeight="1">
      <c r="A195" s="3" t="n"/>
      <c r="B195" s="3" t="n"/>
      <c r="C195" s="3" t="n"/>
      <c r="D195" s="3" t="n"/>
      <c r="E195" s="3" t="n"/>
      <c r="F195" s="3" t="n"/>
      <c r="G195" s="3" t="n"/>
      <c r="H195" s="3">
        <f>B195+C195-D195-E195+F195-G195</f>
        <v/>
      </c>
    </row>
    <row r="196" ht="18" customHeight="1">
      <c r="A196" s="4" t="n"/>
      <c r="B196" s="4" t="n"/>
      <c r="C196" s="4" t="n"/>
      <c r="D196" s="4" t="n"/>
      <c r="E196" s="4" t="n"/>
      <c r="F196" s="4" t="n"/>
      <c r="G196" s="4" t="n"/>
      <c r="H196" s="4">
        <f>B196+C196-D196-E196+F196-G196</f>
        <v/>
      </c>
    </row>
    <row r="197" ht="18" customHeight="1">
      <c r="A197" s="3" t="n"/>
      <c r="B197" s="3" t="n"/>
      <c r="C197" s="3" t="n"/>
      <c r="D197" s="3" t="n"/>
      <c r="E197" s="3" t="n"/>
      <c r="F197" s="3" t="n"/>
      <c r="G197" s="3" t="n"/>
      <c r="H197" s="3">
        <f>B197+C197-D197-E197+F197-G197</f>
        <v/>
      </c>
    </row>
    <row r="198" ht="18" customHeight="1">
      <c r="A198" s="4" t="n"/>
      <c r="B198" s="4" t="n"/>
      <c r="C198" s="4" t="n"/>
      <c r="D198" s="4" t="n"/>
      <c r="E198" s="4" t="n"/>
      <c r="F198" s="4" t="n"/>
      <c r="G198" s="4" t="n"/>
      <c r="H198" s="4">
        <f>B198+C198-D198-E198+F198-G198</f>
        <v/>
      </c>
    </row>
    <row r="199" ht="18" customHeight="1">
      <c r="A199" s="3" t="n"/>
      <c r="B199" s="3" t="n"/>
      <c r="C199" s="3" t="n"/>
      <c r="D199" s="3" t="n"/>
      <c r="E199" s="3" t="n"/>
      <c r="F199" s="3" t="n"/>
      <c r="G199" s="3" t="n"/>
      <c r="H199" s="3">
        <f>B199+C199-D199-E199+F199-G199</f>
        <v/>
      </c>
    </row>
    <row r="200" ht="18" customHeight="1">
      <c r="A200" s="4" t="n"/>
      <c r="B200" s="4" t="n"/>
      <c r="C200" s="4" t="n"/>
      <c r="D200" s="4" t="n"/>
      <c r="E200" s="4" t="n"/>
      <c r="F200" s="4" t="n"/>
      <c r="G200" s="4" t="n"/>
      <c r="H200" s="4">
        <f>B200+C200-D200-E200+F200-G200</f>
        <v/>
      </c>
    </row>
    <row r="201" ht="18" customHeight="1">
      <c r="A201" s="3" t="n"/>
      <c r="B201" s="3" t="n"/>
      <c r="C201" s="3" t="n"/>
      <c r="D201" s="3" t="n"/>
      <c r="E201" s="3" t="n"/>
      <c r="F201" s="3" t="n"/>
      <c r="G201" s="3" t="n"/>
      <c r="H201" s="3">
        <f>B201+C201-D201-E201+F201-G201</f>
        <v/>
      </c>
    </row>
    <row r="202" ht="18" customHeight="1">
      <c r="A202" s="4" t="n"/>
      <c r="B202" s="4" t="n"/>
      <c r="C202" s="4" t="n"/>
      <c r="D202" s="4" t="n"/>
      <c r="E202" s="4" t="n"/>
      <c r="F202" s="4" t="n"/>
      <c r="G202" s="4" t="n"/>
      <c r="H202" s="4">
        <f>B202+C202-D202-E202+F202-G202</f>
        <v/>
      </c>
    </row>
    <row r="203" ht="18" customHeight="1">
      <c r="A203" s="3" t="n"/>
      <c r="B203" s="3" t="n"/>
      <c r="C203" s="3" t="n"/>
      <c r="D203" s="3" t="n"/>
      <c r="E203" s="3" t="n"/>
      <c r="F203" s="3" t="n"/>
      <c r="G203" s="3" t="n"/>
      <c r="H203" s="3">
        <f>B203+C203-D203-E203+F203-G203</f>
        <v/>
      </c>
    </row>
    <row r="204" ht="18" customHeight="1">
      <c r="A204" s="4" t="n"/>
      <c r="B204" s="4" t="n"/>
      <c r="C204" s="4" t="n"/>
      <c r="D204" s="4" t="n"/>
      <c r="E204" s="4" t="n"/>
      <c r="F204" s="4" t="n"/>
      <c r="G204" s="4" t="n"/>
      <c r="H204" s="4">
        <f>B204+C204-D204-E204+F204-G204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  <col width="18" customWidth="1" min="4" max="4"/>
  </cols>
  <sheetData>
    <row r="1" ht="30" customHeight="1">
      <c r="A1" s="1" t="inlineStr">
        <is>
          <t>⚙  BUSINESS SETTINGS &amp; CONFIGURATION</t>
        </is>
      </c>
    </row>
    <row r="2" ht="8" customHeight="1"/>
    <row r="3" ht="8" customHeight="1"/>
    <row r="4" ht="20" customHeight="1">
      <c r="A4" s="5" t="inlineStr">
        <is>
          <t xml:space="preserve">  BUSINESS INFORMATION</t>
        </is>
      </c>
    </row>
    <row r="5" ht="18" customHeight="1">
      <c r="B5" s="6" t="inlineStr">
        <is>
          <t>Business Name</t>
        </is>
      </c>
      <c r="C5" s="7" t="inlineStr">
        <is>
          <t>My Retail Store</t>
        </is>
      </c>
      <c r="D5" s="8" t="inlineStr">
        <is>
          <t>← Edit this value</t>
        </is>
      </c>
    </row>
    <row r="6" ht="18" customHeight="1">
      <c r="B6" s="6" t="inlineStr">
        <is>
          <t>Address</t>
        </is>
      </c>
      <c r="C6" s="7" t="inlineStr">
        <is>
          <t>123 Main Street, City</t>
        </is>
      </c>
      <c r="D6" s="8" t="inlineStr">
        <is>
          <t>← Edit this value</t>
        </is>
      </c>
    </row>
    <row r="7" ht="18" customHeight="1">
      <c r="B7" s="6" t="inlineStr">
        <is>
          <t>Phone</t>
        </is>
      </c>
      <c r="C7" s="7" t="inlineStr">
        <is>
          <t>+63 900 000 0000</t>
        </is>
      </c>
      <c r="D7" s="8" t="inlineStr">
        <is>
          <t>← Edit this value</t>
        </is>
      </c>
    </row>
    <row r="8" ht="18" customHeight="1">
      <c r="B8" s="6" t="inlineStr">
        <is>
          <t>Email</t>
        </is>
      </c>
      <c r="C8" s="7" t="inlineStr">
        <is>
          <t>info@mystore.com</t>
        </is>
      </c>
      <c r="D8" s="8" t="inlineStr">
        <is>
          <t>← Edit this value</t>
        </is>
      </c>
    </row>
    <row r="9" ht="18" customHeight="1">
      <c r="B9" s="6" t="inlineStr">
        <is>
          <t>Tax / Business ID</t>
        </is>
      </c>
      <c r="C9" s="7" t="inlineStr">
        <is>
          <t>TIN-000-000-000</t>
        </is>
      </c>
      <c r="D9" s="8" t="inlineStr">
        <is>
          <t>← Edit this value</t>
        </is>
      </c>
    </row>
    <row r="10" ht="18" customHeight="1">
      <c r="B10" s="6" t="inlineStr">
        <is>
          <t>Currency Symbol</t>
        </is>
      </c>
      <c r="C10" s="7" t="inlineStr">
        <is>
          <t>₱</t>
        </is>
      </c>
      <c r="D10" s="8" t="inlineStr">
        <is>
          <t>← Edit this value</t>
        </is>
      </c>
    </row>
    <row r="11" ht="20" customHeight="1">
      <c r="A11" s="5" t="inlineStr">
        <is>
          <t xml:space="preserve">  FINANCIAL SETTINGS</t>
        </is>
      </c>
    </row>
    <row r="12" ht="18" customHeight="1">
      <c r="B12" s="6" t="inlineStr">
        <is>
          <t>VAT Rate (%)</t>
        </is>
      </c>
      <c r="C12" s="7" t="n">
        <v>12</v>
      </c>
      <c r="D12" s="8" t="inlineStr">
        <is>
          <t>← Edit this value</t>
        </is>
      </c>
    </row>
    <row r="13" ht="18" customHeight="1">
      <c r="B13" s="6" t="inlineStr">
        <is>
          <t>Overtime Multiplier</t>
        </is>
      </c>
      <c r="C13" s="7" t="n">
        <v>1.25</v>
      </c>
      <c r="D13" s="8" t="inlineStr">
        <is>
          <t>← Edit this value</t>
        </is>
      </c>
    </row>
    <row r="14" ht="18" customHeight="1">
      <c r="B14" s="6" t="inlineStr">
        <is>
          <t>Late Penalty/Minute</t>
        </is>
      </c>
      <c r="C14" s="7" t="n">
        <v>2</v>
      </c>
      <c r="D14" s="8" t="inlineStr">
        <is>
          <t>← Edit this value</t>
        </is>
      </c>
    </row>
    <row r="15" ht="18" customHeight="1">
      <c r="B15" s="6" t="inlineStr">
        <is>
          <t>SSS Deduction</t>
        </is>
      </c>
      <c r="C15" s="7" t="n">
        <v>500</v>
      </c>
      <c r="D15" s="8" t="inlineStr">
        <is>
          <t>← Edit this value</t>
        </is>
      </c>
    </row>
    <row r="16" ht="18" customHeight="1">
      <c r="B16" s="6" t="inlineStr">
        <is>
          <t>PhilHealth Deduction</t>
        </is>
      </c>
      <c r="C16" s="7" t="n">
        <v>250</v>
      </c>
      <c r="D16" s="8" t="inlineStr">
        <is>
          <t>← Edit this value</t>
        </is>
      </c>
    </row>
    <row r="17" ht="18" customHeight="1">
      <c r="B17" s="6" t="inlineStr">
        <is>
          <t>Pag-IBIG Deduction</t>
        </is>
      </c>
      <c r="C17" s="7" t="n">
        <v>100</v>
      </c>
      <c r="D17" s="8" t="inlineStr">
        <is>
          <t>← Edit this value</t>
        </is>
      </c>
    </row>
    <row r="18" ht="20" customHeight="1">
      <c r="A18" s="5" t="inlineStr">
        <is>
          <t xml:space="preserve">  REPORT SETTINGS</t>
        </is>
      </c>
    </row>
    <row r="19" ht="18" customHeight="1">
      <c r="B19" s="6" t="inlineStr">
        <is>
          <t>Report Start Date</t>
        </is>
      </c>
      <c r="C19" s="9" t="n">
        <v>45658</v>
      </c>
      <c r="D19" s="8" t="inlineStr">
        <is>
          <t>← Edit this value</t>
        </is>
      </c>
    </row>
    <row r="20" ht="18" customHeight="1">
      <c r="B20" s="6" t="inlineStr">
        <is>
          <t>Report End Date</t>
        </is>
      </c>
      <c r="C20" s="9" t="n">
        <v>46022</v>
      </c>
      <c r="D20" s="8" t="inlineStr">
        <is>
          <t>← Edit this value</t>
        </is>
      </c>
    </row>
    <row r="21" ht="18" customHeight="1">
      <c r="B21" s="6" t="inlineStr">
        <is>
          <t>Fiscal Year</t>
        </is>
      </c>
      <c r="C21" s="7" t="n">
        <v>2025</v>
      </c>
      <c r="D21" s="8" t="inlineStr">
        <is>
          <t>← Edit this value</t>
        </is>
      </c>
    </row>
    <row r="22" ht="18" customHeight="1">
      <c r="B22" s="6" t="inlineStr">
        <is>
          <t>Low Stock Threshold</t>
        </is>
      </c>
      <c r="C22" s="7" t="n">
        <v>10</v>
      </c>
      <c r="D22" s="8" t="inlineStr">
        <is>
          <t>← Edit this value</t>
        </is>
      </c>
    </row>
    <row r="23" ht="18" customHeight="1">
      <c r="B23" s="6" t="inlineStr">
        <is>
          <t>Expiry Warning Days</t>
        </is>
      </c>
      <c r="C23" s="7" t="n">
        <v>30</v>
      </c>
      <c r="D23" s="8" t="inlineStr">
        <is>
          <t>← Edit this value</t>
        </is>
      </c>
    </row>
  </sheetData>
  <mergeCells count="4">
    <mergeCell ref="A1:D1"/>
    <mergeCell ref="A4:D4"/>
    <mergeCell ref="A18:D18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2026-05-19T19:26:56Z</dcterms:created>
  <dcterms:modified xmlns:dcterms="http://purl.org/dc/terms/" xmlns:xsi="http://www.w3.org/2001/XMLSchema-instance" xsi:type="dcterms:W3CDTF">2026-05-19T19:26:59Z</dcterms:modified>
</cp:coreProperties>
</file>