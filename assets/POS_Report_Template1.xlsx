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📊 Sales Report" sheetId="2" state="visible" r:id="rId4"/>
    <sheet name="📦 Inventory" sheetId="3" state="visible" r:id="rId5"/>
    <sheet name="💸 Expenses" sheetId="4" state="visible" r:id="rId6"/>
    <sheet name="👥 Payroll" sheetId="5" state="visible" r:id="rId7"/>
    <sheet name="🏆 Performance" sheetId="6" state="visible" r:id="rId8"/>
    <sheet name="🚚 Suppliers" sheetId="7" state="visible" r:id="rId9"/>
    <sheet name="💰 Cash Flow" sheetId="8" state="visible" r:id="rId10"/>
    <sheet name="📋 Tax &amp; VAT" sheetId="9" state="visible" r:id="rId11"/>
    <sheet name="⚙ Setting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<sst xmlns="http://schemas.openxmlformats.org/spreadsheetml/2006/main" count="6269" uniqueCount="1282">
  <si>
    <t xml:space="preserve">🏪  POS BUSINESS MANAGEMENT DASHBOARD</t>
  </si>
  <si>
    <t xml:space="preserve">  Real-Time Business Analytics  |  Auto-Updated from All Sheets  |  Fiscal Year 2025</t>
  </si>
  <si>
    <t xml:space="preserve">💵 TOTAL REVENUE</t>
  </si>
  <si>
    <t xml:space="preserve">📈 TOTAL PROFIT</t>
  </si>
  <si>
    <t xml:space="preserve">💸 TOTAL EXPENSES</t>
  </si>
  <si>
    <t xml:space="preserve">🛒 TOTAL ORDERS</t>
  </si>
  <si>
    <t xml:space="preserve">👥 PAYROLL COST</t>
  </si>
  <si>
    <t xml:space="preserve">📦 INVENTORY VALUE</t>
  </si>
  <si>
    <t xml:space="preserve">🧾 AVG ORDER VALUE</t>
  </si>
  <si>
    <t xml:space="preserve">⚠ OUTSTANDING PMTS</t>
  </si>
  <si>
    <t xml:space="preserve">🔴 LOW STOCK ITEMS</t>
  </si>
  <si>
    <t xml:space="preserve">📋 VAT PAYABLE (YTD)</t>
  </si>
  <si>
    <t xml:space="preserve">  💳  SALES BY PAYMENT METHOD</t>
  </si>
  <si>
    <t xml:space="preserve">  🥇  TOP SELLING PRODUCTS (by Revenue)</t>
  </si>
  <si>
    <t xml:space="preserve">  ⚠️  LOW STOCK ALERTS</t>
  </si>
  <si>
    <t xml:space="preserve">Payment Method</t>
  </si>
  <si>
    <t xml:space="preserve">Amount</t>
  </si>
  <si>
    <t xml:space="preserve">% Share</t>
  </si>
  <si>
    <t xml:space="preserve">Product</t>
  </si>
  <si>
    <t xml:space="preserve">Units Sold</t>
  </si>
  <si>
    <t xml:space="preserve">Revenue</t>
  </si>
  <si>
    <t xml:space="preserve">Stock</t>
  </si>
  <si>
    <t xml:space="preserve">Min</t>
  </si>
  <si>
    <t xml:space="preserve">Status</t>
  </si>
  <si>
    <t xml:space="preserve">Cash</t>
  </si>
  <si>
    <t xml:space="preserve">Espresso Coffee</t>
  </si>
  <si>
    <t xml:space="preserve">GCash</t>
  </si>
  <si>
    <t xml:space="preserve">Latte</t>
  </si>
  <si>
    <t xml:space="preserve">Credit Card</t>
  </si>
  <si>
    <t xml:space="preserve">Croissant</t>
  </si>
  <si>
    <t xml:space="preserve">Croissant (pcs)</t>
  </si>
  <si>
    <t xml:space="preserve">LOW</t>
  </si>
  <si>
    <t xml:space="preserve">Debit Card</t>
  </si>
  <si>
    <t xml:space="preserve">Chocolate Cake</t>
  </si>
  <si>
    <t xml:space="preserve">PayMaya</t>
  </si>
  <si>
    <t xml:space="preserve">Mineral Water</t>
  </si>
  <si>
    <t xml:space="preserve">Fried Chicken</t>
  </si>
  <si>
    <t xml:space="preserve">  📅  MONTHLY SALES &amp; PROFIT SUMMARY</t>
  </si>
  <si>
    <t xml:space="preserve">  🏆  TOP EMPLOYEE PERFORMANCE</t>
  </si>
  <si>
    <t xml:space="preserve">Month</t>
  </si>
  <si>
    <t xml:space="preserve">Orders</t>
  </si>
  <si>
    <t xml:space="preserve">COGS</t>
  </si>
  <si>
    <t xml:space="preserve">Gross Profit</t>
  </si>
  <si>
    <t xml:space="preserve">Expenses</t>
  </si>
  <si>
    <t xml:space="preserve">Net Profit</t>
  </si>
  <si>
    <t xml:space="preserve">Profit Margin</t>
  </si>
  <si>
    <t xml:space="preserve">Employee</t>
  </si>
  <si>
    <t xml:space="preserve">Sales</t>
  </si>
  <si>
    <t xml:space="preserve">Txns</t>
  </si>
  <si>
    <t xml:space="preserve">Avg Sale</t>
  </si>
  <si>
    <t xml:space="preserve">Score</t>
  </si>
  <si>
    <t xml:space="preserve">January</t>
  </si>
  <si>
    <t xml:space="preserve">Sandwich Bread (loaf)</t>
  </si>
  <si>
    <t xml:space="preserve">February</t>
  </si>
  <si>
    <t xml:space="preserve">March</t>
  </si>
  <si>
    <t xml:space="preserve">April</t>
  </si>
  <si>
    <t xml:space="preserve">May</t>
  </si>
  <si>
    <t xml:space="preserve">Disposable Cup (100pcs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</si>
  <si>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</si>
  <si>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</si>
  <si>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</si>
  <si>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</si>
  <si>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</si>
  <si>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</si>
  <si>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</si>
  <si>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⚙ Powered by POS Report Pro  •  All data auto-linked across sheets  •  Modify Settings sheet to configure VAT, currency &amp; payroll rates</t>
  </si>
  <si>
    <t xml:space="preserve">📊  DAILY SALES REPORT</t>
  </si>
  <si>
    <t xml:space="preserve">Date</t>
  </si>
  <si>
    <t xml:space="preserve">Invoice #</t>
  </si>
  <si>
    <t xml:space="preserve">Product Name</t>
  </si>
  <si>
    <t xml:space="preserve">Category</t>
  </si>
  <si>
    <t xml:space="preserve">Qty Sold</t>
  </si>
  <si>
    <t xml:space="preserve">Unit Price</t>
  </si>
  <si>
    <t xml:space="preserve">Discount (%)</t>
  </si>
  <si>
    <t xml:space="preserve">Tax (%)</t>
  </si>
  <si>
    <t xml:space="preserve">Total Amount</t>
  </si>
  <si>
    <t xml:space="preserve">Cashier</t>
  </si>
  <si>
    <t xml:space="preserve">Customer Name</t>
  </si>
  <si>
    <t xml:space="preserve">Profit/Item</t>
  </si>
  <si>
    <t xml:space="preserve">Total Profit</t>
  </si>
  <si>
    <t xml:space="preserve">INV-01001</t>
  </si>
  <si>
    <t xml:space="preserve">Beverages</t>
  </si>
  <si>
    <t xml:space="preserve">Juan Dela Cruz</t>
  </si>
  <si>
    <t xml:space="preserve">Mary Johnson</t>
  </si>
  <si>
    <t xml:space="preserve">INV-01002</t>
  </si>
  <si>
    <t xml:space="preserve">Carlo Bautista</t>
  </si>
  <si>
    <t xml:space="preserve">Walk-in</t>
  </si>
  <si>
    <t xml:space="preserve">INV-01003</t>
  </si>
  <si>
    <t xml:space="preserve">Lisa Tan</t>
  </si>
  <si>
    <t xml:space="preserve">James Ong</t>
  </si>
  <si>
    <t xml:space="preserve">INV-01004</t>
  </si>
  <si>
    <t xml:space="preserve">Robert Brown</t>
  </si>
  <si>
    <t xml:space="preserve">INV-01005</t>
  </si>
  <si>
    <t xml:space="preserve">Orange Juice</t>
  </si>
  <si>
    <t xml:space="preserve">Jennifer Cruz</t>
  </si>
  <si>
    <t xml:space="preserve">INV-01006</t>
  </si>
  <si>
    <t xml:space="preserve">Food</t>
  </si>
  <si>
    <t xml:space="preserve">Ana Reyes</t>
  </si>
  <si>
    <t xml:space="preserve">John Smith</t>
  </si>
  <si>
    <t xml:space="preserve">INV-01007</t>
  </si>
  <si>
    <t xml:space="preserve">INV-01008</t>
  </si>
  <si>
    <t xml:space="preserve">Maria Santos</t>
  </si>
  <si>
    <t xml:space="preserve">INV-01009</t>
  </si>
  <si>
    <t xml:space="preserve">INV-01010</t>
  </si>
  <si>
    <t xml:space="preserve">Bakery</t>
  </si>
  <si>
    <t xml:space="preserve">INV-01011</t>
  </si>
  <si>
    <t xml:space="preserve">Michael Garcia</t>
  </si>
  <si>
    <t xml:space="preserve">INV-01012</t>
  </si>
  <si>
    <t xml:space="preserve">INV-01013</t>
  </si>
  <si>
    <t xml:space="preserve">Ice Cream</t>
  </si>
  <si>
    <t xml:space="preserve">Dessert</t>
  </si>
  <si>
    <t xml:space="preserve">David Torres</t>
  </si>
  <si>
    <t xml:space="preserve">INV-01014</t>
  </si>
  <si>
    <t xml:space="preserve">Rice Meal</t>
  </si>
  <si>
    <t xml:space="preserve">INV-01015</t>
  </si>
  <si>
    <t xml:space="preserve">INV-01016</t>
  </si>
  <si>
    <t xml:space="preserve">INV-01017</t>
  </si>
  <si>
    <t xml:space="preserve">Patricia Ramos</t>
  </si>
  <si>
    <t xml:space="preserve">INV-01018</t>
  </si>
  <si>
    <t xml:space="preserve">INV-01019</t>
  </si>
  <si>
    <t xml:space="preserve">INV-01020</t>
  </si>
  <si>
    <t xml:space="preserve">INV-01021</t>
  </si>
  <si>
    <t xml:space="preserve">Anna Lee</t>
  </si>
  <si>
    <t xml:space="preserve">INV-01022</t>
  </si>
  <si>
    <t xml:space="preserve">Sandwich</t>
  </si>
  <si>
    <t xml:space="preserve">INV-01023</t>
  </si>
  <si>
    <t xml:space="preserve">INV-01024</t>
  </si>
  <si>
    <t xml:space="preserve">INV-01025</t>
  </si>
  <si>
    <t xml:space="preserve">INV-01026</t>
  </si>
  <si>
    <t xml:space="preserve">INV-01027</t>
  </si>
  <si>
    <t xml:space="preserve">INV-01028</t>
  </si>
  <si>
    <t xml:space="preserve">INV-01029</t>
  </si>
  <si>
    <t xml:space="preserve">INV-01030</t>
  </si>
  <si>
    <t xml:space="preserve">INV-01031</t>
  </si>
  <si>
    <t xml:space="preserve">INV-01032</t>
  </si>
  <si>
    <t xml:space="preserve">INV-01033</t>
  </si>
  <si>
    <t xml:space="preserve">INV-01034</t>
  </si>
  <si>
    <t xml:space="preserve">INV-01035</t>
  </si>
  <si>
    <t xml:space="preserve">INV-01036</t>
  </si>
  <si>
    <t xml:space="preserve">INV-01037</t>
  </si>
  <si>
    <t xml:space="preserve">INV-01038</t>
  </si>
  <si>
    <t xml:space="preserve">INV-01039</t>
  </si>
  <si>
    <t xml:space="preserve">INV-01040</t>
  </si>
  <si>
    <t xml:space="preserve">INV-01041</t>
  </si>
  <si>
    <t xml:space="preserve">INV-01042</t>
  </si>
  <si>
    <t xml:space="preserve">INV-01043</t>
  </si>
  <si>
    <t xml:space="preserve">INV-01044</t>
  </si>
  <si>
    <t xml:space="preserve">INV-01045</t>
  </si>
  <si>
    <t xml:space="preserve">INV-01046</t>
  </si>
  <si>
    <t xml:space="preserve">INV-01047</t>
  </si>
  <si>
    <t xml:space="preserve">INV-01048</t>
  </si>
  <si>
    <t xml:space="preserve">INV-01049</t>
  </si>
  <si>
    <t xml:space="preserve">INV-01050</t>
  </si>
  <si>
    <t xml:space="preserve">INV-01051</t>
  </si>
  <si>
    <t xml:space="preserve">INV-01052</t>
  </si>
  <si>
    <t xml:space="preserve">INV-01053</t>
  </si>
  <si>
    <t xml:space="preserve">INV-01054</t>
  </si>
  <si>
    <t xml:space="preserve">INV-01055</t>
  </si>
  <si>
    <t xml:space="preserve">INV-01056</t>
  </si>
  <si>
    <t xml:space="preserve">INV-01057</t>
  </si>
  <si>
    <t xml:space="preserve">INV-01058</t>
  </si>
  <si>
    <t xml:space="preserve">INV-01059</t>
  </si>
  <si>
    <t xml:space="preserve">INV-01060</t>
  </si>
  <si>
    <t xml:space="preserve">INV-01061</t>
  </si>
  <si>
    <t xml:space="preserve">INV-01062</t>
  </si>
  <si>
    <t xml:space="preserve">INV-01063</t>
  </si>
  <si>
    <t xml:space="preserve">INV-01064</t>
  </si>
  <si>
    <t xml:space="preserve">INV-01065</t>
  </si>
  <si>
    <t xml:space="preserve">INV-01066</t>
  </si>
  <si>
    <t xml:space="preserve">INV-01067</t>
  </si>
  <si>
    <t xml:space="preserve">INV-01068</t>
  </si>
  <si>
    <t xml:space="preserve">INV-01069</t>
  </si>
  <si>
    <t xml:space="preserve">INV-01070</t>
  </si>
  <si>
    <t xml:space="preserve">INV-01071</t>
  </si>
  <si>
    <t xml:space="preserve">INV-01072</t>
  </si>
  <si>
    <t xml:space="preserve">INV-01073</t>
  </si>
  <si>
    <t xml:space="preserve">INV-01074</t>
  </si>
  <si>
    <t xml:space="preserve">INV-01075</t>
  </si>
  <si>
    <t xml:space="preserve">INV-01076</t>
  </si>
  <si>
    <t xml:space="preserve">INV-01077</t>
  </si>
  <si>
    <t xml:space="preserve">INV-01078</t>
  </si>
  <si>
    <t xml:space="preserve">INV-01079</t>
  </si>
  <si>
    <t xml:space="preserve">INV-01080</t>
  </si>
  <si>
    <t xml:space="preserve">INV-01081</t>
  </si>
  <si>
    <t xml:space="preserve">INV-01082</t>
  </si>
  <si>
    <t xml:space="preserve">INV-01083</t>
  </si>
  <si>
    <t xml:space="preserve">INV-01084</t>
  </si>
  <si>
    <t xml:space="preserve">INV-01085</t>
  </si>
  <si>
    <t xml:space="preserve">INV-01086</t>
  </si>
  <si>
    <t xml:space="preserve">INV-01087</t>
  </si>
  <si>
    <t xml:space="preserve">INV-01088</t>
  </si>
  <si>
    <t xml:space="preserve">INV-01089</t>
  </si>
  <si>
    <t xml:space="preserve">INV-01090</t>
  </si>
  <si>
    <t xml:space="preserve">INV-01091</t>
  </si>
  <si>
    <t xml:space="preserve">INV-01092</t>
  </si>
  <si>
    <t xml:space="preserve">INV-01093</t>
  </si>
  <si>
    <t xml:space="preserve">INV-01094</t>
  </si>
  <si>
    <t xml:space="preserve">INV-01095</t>
  </si>
  <si>
    <t xml:space="preserve">INV-01096</t>
  </si>
  <si>
    <t xml:space="preserve">INV-01097</t>
  </si>
  <si>
    <t xml:space="preserve">INV-01098</t>
  </si>
  <si>
    <t xml:space="preserve">INV-01099</t>
  </si>
  <si>
    <t xml:space="preserve">INV-01100</t>
  </si>
  <si>
    <t xml:space="preserve">INV-01101</t>
  </si>
  <si>
    <t xml:space="preserve">INV-01102</t>
  </si>
  <si>
    <t xml:space="preserve">INV-01103</t>
  </si>
  <si>
    <t xml:space="preserve">INV-01104</t>
  </si>
  <si>
    <t xml:space="preserve">INV-01105</t>
  </si>
  <si>
    <t xml:space="preserve">INV-01106</t>
  </si>
  <si>
    <t xml:space="preserve">INV-01107</t>
  </si>
  <si>
    <t xml:space="preserve">INV-01108</t>
  </si>
  <si>
    <t xml:space="preserve">INV-01109</t>
  </si>
  <si>
    <t xml:space="preserve">INV-01110</t>
  </si>
  <si>
    <t xml:space="preserve">INV-01111</t>
  </si>
  <si>
    <t xml:space="preserve">INV-01112</t>
  </si>
  <si>
    <t xml:space="preserve">INV-01113</t>
  </si>
  <si>
    <t xml:space="preserve">INV-01114</t>
  </si>
  <si>
    <t xml:space="preserve">INV-01115</t>
  </si>
  <si>
    <t xml:space="preserve">INV-01116</t>
  </si>
  <si>
    <t xml:space="preserve">INV-01117</t>
  </si>
  <si>
    <t xml:space="preserve">INV-01118</t>
  </si>
  <si>
    <t xml:space="preserve">INV-01119</t>
  </si>
  <si>
    <t xml:space="preserve">INV-01120</t>
  </si>
  <si>
    <t xml:space="preserve">INV-01121</t>
  </si>
  <si>
    <t xml:space="preserve">INV-01122</t>
  </si>
  <si>
    <t xml:space="preserve">INV-01123</t>
  </si>
  <si>
    <t xml:space="preserve">INV-01124</t>
  </si>
  <si>
    <t xml:space="preserve">INV-01125</t>
  </si>
  <si>
    <t xml:space="preserve">INV-01126</t>
  </si>
  <si>
    <t xml:space="preserve">INV-01127</t>
  </si>
  <si>
    <t xml:space="preserve">INV-01128</t>
  </si>
  <si>
    <t xml:space="preserve">INV-01129</t>
  </si>
  <si>
    <t xml:space="preserve">INV-01130</t>
  </si>
  <si>
    <t xml:space="preserve">INV-01131</t>
  </si>
  <si>
    <t xml:space="preserve">INV-01132</t>
  </si>
  <si>
    <t xml:space="preserve">INV-01133</t>
  </si>
  <si>
    <t xml:space="preserve">INV-01134</t>
  </si>
  <si>
    <t xml:space="preserve">INV-01135</t>
  </si>
  <si>
    <t xml:space="preserve">INV-01136</t>
  </si>
  <si>
    <t xml:space="preserve">INV-01137</t>
  </si>
  <si>
    <t xml:space="preserve">INV-01138</t>
  </si>
  <si>
    <t xml:space="preserve">INV-01139</t>
  </si>
  <si>
    <t xml:space="preserve">INV-01140</t>
  </si>
  <si>
    <t xml:space="preserve">INV-01141</t>
  </si>
  <si>
    <t xml:space="preserve">INV-01142</t>
  </si>
  <si>
    <t xml:space="preserve">INV-01143</t>
  </si>
  <si>
    <t xml:space="preserve">INV-01144</t>
  </si>
  <si>
    <t xml:space="preserve">INV-01145</t>
  </si>
  <si>
    <t xml:space="preserve">INV-01146</t>
  </si>
  <si>
    <t xml:space="preserve">INV-01147</t>
  </si>
  <si>
    <t xml:space="preserve">INV-01148</t>
  </si>
  <si>
    <t xml:space="preserve">INV-01149</t>
  </si>
  <si>
    <t xml:space="preserve">INV-01150</t>
  </si>
  <si>
    <t xml:space="preserve">INV-01151</t>
  </si>
  <si>
    <t xml:space="preserve">INV-01152</t>
  </si>
  <si>
    <t xml:space="preserve">INV-01153</t>
  </si>
  <si>
    <t xml:space="preserve">INV-01154</t>
  </si>
  <si>
    <t xml:space="preserve">INV-01155</t>
  </si>
  <si>
    <t xml:space="preserve">INV-01156</t>
  </si>
  <si>
    <t xml:space="preserve">INV-01157</t>
  </si>
  <si>
    <t xml:space="preserve">INV-01158</t>
  </si>
  <si>
    <t xml:space="preserve">INV-01159</t>
  </si>
  <si>
    <t xml:space="preserve">INV-01160</t>
  </si>
  <si>
    <t xml:space="preserve">INV-01161</t>
  </si>
  <si>
    <t xml:space="preserve">INV-01162</t>
  </si>
  <si>
    <t xml:space="preserve">INV-01163</t>
  </si>
  <si>
    <t xml:space="preserve">INV-01164</t>
  </si>
  <si>
    <t xml:space="preserve">INV-01165</t>
  </si>
  <si>
    <t xml:space="preserve">INV-01166</t>
  </si>
  <si>
    <t xml:space="preserve">INV-01167</t>
  </si>
  <si>
    <t xml:space="preserve">INV-01168</t>
  </si>
  <si>
    <t xml:space="preserve">INV-01169</t>
  </si>
  <si>
    <t xml:space="preserve">INV-01170</t>
  </si>
  <si>
    <t xml:space="preserve">INV-01171</t>
  </si>
  <si>
    <t xml:space="preserve">INV-01172</t>
  </si>
  <si>
    <t xml:space="preserve">INV-01173</t>
  </si>
  <si>
    <t xml:space="preserve">INV-01174</t>
  </si>
  <si>
    <t xml:space="preserve">INV-01175</t>
  </si>
  <si>
    <t xml:space="preserve">INV-01176</t>
  </si>
  <si>
    <t xml:space="preserve">INV-01177</t>
  </si>
  <si>
    <t xml:space="preserve">INV-01178</t>
  </si>
  <si>
    <t xml:space="preserve">INV-01179</t>
  </si>
  <si>
    <t xml:space="preserve">INV-01180</t>
  </si>
  <si>
    <t xml:space="preserve">INV-01181</t>
  </si>
  <si>
    <t xml:space="preserve">INV-01182</t>
  </si>
  <si>
    <t xml:space="preserve">INV-01183</t>
  </si>
  <si>
    <t xml:space="preserve">INV-01184</t>
  </si>
  <si>
    <t xml:space="preserve">INV-01185</t>
  </si>
  <si>
    <t xml:space="preserve">INV-01186</t>
  </si>
  <si>
    <t xml:space="preserve">INV-01187</t>
  </si>
  <si>
    <t xml:space="preserve">INV-01188</t>
  </si>
  <si>
    <t xml:space="preserve">INV-01189</t>
  </si>
  <si>
    <t xml:space="preserve">INV-01190</t>
  </si>
  <si>
    <t xml:space="preserve">INV-01191</t>
  </si>
  <si>
    <t xml:space="preserve">INV-01192</t>
  </si>
  <si>
    <t xml:space="preserve">INV-01193</t>
  </si>
  <si>
    <t xml:space="preserve">INV-01194</t>
  </si>
  <si>
    <t xml:space="preserve">INV-01195</t>
  </si>
  <si>
    <t xml:space="preserve">INV-01196</t>
  </si>
  <si>
    <t xml:space="preserve">INV-01197</t>
  </si>
  <si>
    <t xml:space="preserve">INV-01198</t>
  </si>
  <si>
    <t xml:space="preserve">INV-01199</t>
  </si>
  <si>
    <t xml:space="preserve">INV-01200</t>
  </si>
  <si>
    <t xml:space="preserve">INV-01201</t>
  </si>
  <si>
    <t xml:space="preserve">INV-01202</t>
  </si>
  <si>
    <t xml:space="preserve">INV-01203</t>
  </si>
  <si>
    <t xml:space="preserve">INV-01204</t>
  </si>
  <si>
    <t xml:space="preserve">INV-01205</t>
  </si>
  <si>
    <t xml:space="preserve">INV-01206</t>
  </si>
  <si>
    <t xml:space="preserve">INV-01207</t>
  </si>
  <si>
    <t xml:space="preserve">INV-01208</t>
  </si>
  <si>
    <t xml:space="preserve">INV-01209</t>
  </si>
  <si>
    <t xml:space="preserve">INV-01210</t>
  </si>
  <si>
    <t xml:space="preserve">INV-01211</t>
  </si>
  <si>
    <t xml:space="preserve">INV-01212</t>
  </si>
  <si>
    <t xml:space="preserve">INV-01213</t>
  </si>
  <si>
    <t xml:space="preserve">INV-01214</t>
  </si>
  <si>
    <t xml:space="preserve">INV-01215</t>
  </si>
  <si>
    <t xml:space="preserve">INV-01216</t>
  </si>
  <si>
    <t xml:space="preserve">INV-01217</t>
  </si>
  <si>
    <t xml:space="preserve">INV-01218</t>
  </si>
  <si>
    <t xml:space="preserve">INV-01219</t>
  </si>
  <si>
    <t xml:space="preserve">INV-01220</t>
  </si>
  <si>
    <t xml:space="preserve">INV-01221</t>
  </si>
  <si>
    <t xml:space="preserve">INV-01222</t>
  </si>
  <si>
    <t xml:space="preserve">INV-01223</t>
  </si>
  <si>
    <t xml:space="preserve">INV-01224</t>
  </si>
  <si>
    <t xml:space="preserve">INV-01225</t>
  </si>
  <si>
    <t xml:space="preserve">INV-01226</t>
  </si>
  <si>
    <t xml:space="preserve">INV-01227</t>
  </si>
  <si>
    <t xml:space="preserve">INV-01228</t>
  </si>
  <si>
    <t xml:space="preserve">INV-01229</t>
  </si>
  <si>
    <t xml:space="preserve">INV-01230</t>
  </si>
  <si>
    <t xml:space="preserve">INV-01231</t>
  </si>
  <si>
    <t xml:space="preserve">INV-01232</t>
  </si>
  <si>
    <t xml:space="preserve">INV-01233</t>
  </si>
  <si>
    <t xml:space="preserve">INV-01234</t>
  </si>
  <si>
    <t xml:space="preserve">INV-01235</t>
  </si>
  <si>
    <t xml:space="preserve">INV-01236</t>
  </si>
  <si>
    <t xml:space="preserve">INV-01237</t>
  </si>
  <si>
    <t xml:space="preserve">INV-01238</t>
  </si>
  <si>
    <t xml:space="preserve">INV-01239</t>
  </si>
  <si>
    <t xml:space="preserve">INV-01240</t>
  </si>
  <si>
    <t xml:space="preserve">INV-01241</t>
  </si>
  <si>
    <t xml:space="preserve">INV-01242</t>
  </si>
  <si>
    <t xml:space="preserve">INV-01243</t>
  </si>
  <si>
    <t xml:space="preserve">INV-01244</t>
  </si>
  <si>
    <t xml:space="preserve">INV-01245</t>
  </si>
  <si>
    <t xml:space="preserve">INV-01246</t>
  </si>
  <si>
    <t xml:space="preserve">INV-01247</t>
  </si>
  <si>
    <t xml:space="preserve">INV-01248</t>
  </si>
  <si>
    <t xml:space="preserve">INV-01249</t>
  </si>
  <si>
    <t xml:space="preserve">INV-01250</t>
  </si>
  <si>
    <t xml:space="preserve">INV-01251</t>
  </si>
  <si>
    <t xml:space="preserve">INV-01252</t>
  </si>
  <si>
    <t xml:space="preserve">INV-01253</t>
  </si>
  <si>
    <t xml:space="preserve">INV-01254</t>
  </si>
  <si>
    <t xml:space="preserve">INV-01255</t>
  </si>
  <si>
    <t xml:space="preserve">INV-01256</t>
  </si>
  <si>
    <t xml:space="preserve">INV-01257</t>
  </si>
  <si>
    <t xml:space="preserve">INV-01258</t>
  </si>
  <si>
    <t xml:space="preserve">INV-01259</t>
  </si>
  <si>
    <t xml:space="preserve">INV-01260</t>
  </si>
  <si>
    <t xml:space="preserve">INV-01261</t>
  </si>
  <si>
    <t xml:space="preserve">INV-01262</t>
  </si>
  <si>
    <t xml:space="preserve">INV-01263</t>
  </si>
  <si>
    <t xml:space="preserve">INV-01264</t>
  </si>
  <si>
    <t xml:space="preserve">INV-01265</t>
  </si>
  <si>
    <t xml:space="preserve">INV-01266</t>
  </si>
  <si>
    <t xml:space="preserve">INV-01267</t>
  </si>
  <si>
    <t xml:space="preserve">INV-01268</t>
  </si>
  <si>
    <t xml:space="preserve">INV-01269</t>
  </si>
  <si>
    <t xml:space="preserve">INV-01270</t>
  </si>
  <si>
    <t xml:space="preserve">INV-01271</t>
  </si>
  <si>
    <t xml:space="preserve">INV-01272</t>
  </si>
  <si>
    <t xml:space="preserve">INV-01273</t>
  </si>
  <si>
    <t xml:space="preserve">INV-01274</t>
  </si>
  <si>
    <t xml:space="preserve">INV-01275</t>
  </si>
  <si>
    <t xml:space="preserve">INV-01276</t>
  </si>
  <si>
    <t xml:space="preserve">INV-01277</t>
  </si>
  <si>
    <t xml:space="preserve">INV-01278</t>
  </si>
  <si>
    <t xml:space="preserve">INV-01279</t>
  </si>
  <si>
    <t xml:space="preserve">INV-01280</t>
  </si>
  <si>
    <t xml:space="preserve">INV-01281</t>
  </si>
  <si>
    <t xml:space="preserve">INV-01282</t>
  </si>
  <si>
    <t xml:space="preserve">INV-01283</t>
  </si>
  <si>
    <t xml:space="preserve">INV-01284</t>
  </si>
  <si>
    <t xml:space="preserve">INV-01285</t>
  </si>
  <si>
    <t xml:space="preserve">INV-01286</t>
  </si>
  <si>
    <t xml:space="preserve">INV-01287</t>
  </si>
  <si>
    <t xml:space="preserve">INV-01288</t>
  </si>
  <si>
    <t xml:space="preserve">INV-01289</t>
  </si>
  <si>
    <t xml:space="preserve">INV-01290</t>
  </si>
  <si>
    <t xml:space="preserve">INV-01291</t>
  </si>
  <si>
    <t xml:space="preserve">INV-01292</t>
  </si>
  <si>
    <t xml:space="preserve">INV-01293</t>
  </si>
  <si>
    <t xml:space="preserve">INV-01294</t>
  </si>
  <si>
    <t xml:space="preserve">INV-01295</t>
  </si>
  <si>
    <t xml:space="preserve">INV-01296</t>
  </si>
  <si>
    <t xml:space="preserve">INV-01297</t>
  </si>
  <si>
    <t xml:space="preserve">INV-01298</t>
  </si>
  <si>
    <t xml:space="preserve">INV-01299</t>
  </si>
  <si>
    <t xml:space="preserve">INV-01300</t>
  </si>
  <si>
    <t xml:space="preserve">INV-01301</t>
  </si>
  <si>
    <t xml:space="preserve">INV-01302</t>
  </si>
  <si>
    <t xml:space="preserve">INV-01303</t>
  </si>
  <si>
    <t xml:space="preserve">INV-01304</t>
  </si>
  <si>
    <t xml:space="preserve">INV-01305</t>
  </si>
  <si>
    <t xml:space="preserve">INV-01306</t>
  </si>
  <si>
    <t xml:space="preserve">INV-01307</t>
  </si>
  <si>
    <t xml:space="preserve">INV-01308</t>
  </si>
  <si>
    <t xml:space="preserve">INV-01309</t>
  </si>
  <si>
    <t xml:space="preserve">INV-01310</t>
  </si>
  <si>
    <t xml:space="preserve">INV-01311</t>
  </si>
  <si>
    <t xml:space="preserve">INV-01312</t>
  </si>
  <si>
    <t xml:space="preserve">INV-01313</t>
  </si>
  <si>
    <t xml:space="preserve">INV-01314</t>
  </si>
  <si>
    <t xml:space="preserve">INV-01315</t>
  </si>
  <si>
    <t xml:space="preserve">INV-01316</t>
  </si>
  <si>
    <t xml:space="preserve">INV-01317</t>
  </si>
  <si>
    <t xml:space="preserve">INV-01318</t>
  </si>
  <si>
    <t xml:space="preserve">INV-01319</t>
  </si>
  <si>
    <t xml:space="preserve">INV-01320</t>
  </si>
  <si>
    <t xml:space="preserve">INV-01321</t>
  </si>
  <si>
    <t xml:space="preserve">INV-01322</t>
  </si>
  <si>
    <t xml:space="preserve">INV-01323</t>
  </si>
  <si>
    <t xml:space="preserve">INV-01324</t>
  </si>
  <si>
    <t xml:space="preserve">INV-01325</t>
  </si>
  <si>
    <t xml:space="preserve">INV-01326</t>
  </si>
  <si>
    <t xml:space="preserve">INV-01327</t>
  </si>
  <si>
    <t xml:space="preserve">INV-01328</t>
  </si>
  <si>
    <t xml:space="preserve">INV-01329</t>
  </si>
  <si>
    <t xml:space="preserve">INV-01330</t>
  </si>
  <si>
    <t xml:space="preserve">INV-01331</t>
  </si>
  <si>
    <t xml:space="preserve">INV-01332</t>
  </si>
  <si>
    <t xml:space="preserve">INV-01333</t>
  </si>
  <si>
    <t xml:space="preserve">INV-01334</t>
  </si>
  <si>
    <t xml:space="preserve">INV-01335</t>
  </si>
  <si>
    <t xml:space="preserve">INV-01336</t>
  </si>
  <si>
    <t xml:space="preserve">INV-01337</t>
  </si>
  <si>
    <t xml:space="preserve">INV-01338</t>
  </si>
  <si>
    <t xml:space="preserve">INV-01339</t>
  </si>
  <si>
    <t xml:space="preserve">INV-01340</t>
  </si>
  <si>
    <t xml:space="preserve">INV-01341</t>
  </si>
  <si>
    <t xml:space="preserve">INV-01342</t>
  </si>
  <si>
    <t xml:space="preserve">INV-01343</t>
  </si>
  <si>
    <t xml:space="preserve">INV-01344</t>
  </si>
  <si>
    <t xml:space="preserve">INV-01345</t>
  </si>
  <si>
    <t xml:space="preserve">INV-01346</t>
  </si>
  <si>
    <t xml:space="preserve">INV-01347</t>
  </si>
  <si>
    <t xml:space="preserve">INV-01348</t>
  </si>
  <si>
    <t xml:space="preserve">INV-01349</t>
  </si>
  <si>
    <t xml:space="preserve">INV-01350</t>
  </si>
  <si>
    <t xml:space="preserve">INV-01351</t>
  </si>
  <si>
    <t xml:space="preserve">INV-01352</t>
  </si>
  <si>
    <t xml:space="preserve">INV-01353</t>
  </si>
  <si>
    <t xml:space="preserve">INV-01354</t>
  </si>
  <si>
    <t xml:space="preserve">INV-01355</t>
  </si>
  <si>
    <t xml:space="preserve">INV-01356</t>
  </si>
  <si>
    <t xml:space="preserve">INV-01357</t>
  </si>
  <si>
    <t xml:space="preserve">INV-01358</t>
  </si>
  <si>
    <t xml:space="preserve">INV-01359</t>
  </si>
  <si>
    <t xml:space="preserve">INV-01360</t>
  </si>
  <si>
    <t xml:space="preserve">INV-01361</t>
  </si>
  <si>
    <t xml:space="preserve">INV-01362</t>
  </si>
  <si>
    <t xml:space="preserve">INV-01363</t>
  </si>
  <si>
    <t xml:space="preserve">INV-01364</t>
  </si>
  <si>
    <t xml:space="preserve">INV-01365</t>
  </si>
  <si>
    <t xml:space="preserve">INV-01366</t>
  </si>
  <si>
    <t xml:space="preserve">INV-01367</t>
  </si>
  <si>
    <t xml:space="preserve">INV-01368</t>
  </si>
  <si>
    <t xml:space="preserve">INV-01369</t>
  </si>
  <si>
    <t xml:space="preserve">INV-01370</t>
  </si>
  <si>
    <t xml:space="preserve">INV-01371</t>
  </si>
  <si>
    <t xml:space="preserve">INV-01372</t>
  </si>
  <si>
    <t xml:space="preserve">INV-01373</t>
  </si>
  <si>
    <t xml:space="preserve">INV-01374</t>
  </si>
  <si>
    <t xml:space="preserve">INV-01375</t>
  </si>
  <si>
    <t xml:space="preserve">INV-01376</t>
  </si>
  <si>
    <t xml:space="preserve">INV-01377</t>
  </si>
  <si>
    <t xml:space="preserve">INV-01378</t>
  </si>
  <si>
    <t xml:space="preserve">INV-01379</t>
  </si>
  <si>
    <t xml:space="preserve">INV-01380</t>
  </si>
  <si>
    <t xml:space="preserve">INV-01381</t>
  </si>
  <si>
    <t xml:space="preserve">INV-01382</t>
  </si>
  <si>
    <t xml:space="preserve">INV-01383</t>
  </si>
  <si>
    <t xml:space="preserve">INV-01384</t>
  </si>
  <si>
    <t xml:space="preserve">INV-01385</t>
  </si>
  <si>
    <t xml:space="preserve">INV-01386</t>
  </si>
  <si>
    <t xml:space="preserve">INV-01387</t>
  </si>
  <si>
    <t xml:space="preserve">INV-01388</t>
  </si>
  <si>
    <t xml:space="preserve">INV-01389</t>
  </si>
  <si>
    <t xml:space="preserve">INV-01390</t>
  </si>
  <si>
    <t xml:space="preserve">INV-01391</t>
  </si>
  <si>
    <t xml:space="preserve">INV-01392</t>
  </si>
  <si>
    <t xml:space="preserve">INV-01393</t>
  </si>
  <si>
    <t xml:space="preserve">INV-01394</t>
  </si>
  <si>
    <t xml:space="preserve">INV-01395</t>
  </si>
  <si>
    <t xml:space="preserve">INV-01396</t>
  </si>
  <si>
    <t xml:space="preserve">INV-01397</t>
  </si>
  <si>
    <t xml:space="preserve">INV-01398</t>
  </si>
  <si>
    <t xml:space="preserve">INV-01399</t>
  </si>
  <si>
    <t xml:space="preserve">INV-01400</t>
  </si>
  <si>
    <t xml:space="preserve">INV-01401</t>
  </si>
  <si>
    <t xml:space="preserve">INV-01402</t>
  </si>
  <si>
    <t xml:space="preserve">INV-01403</t>
  </si>
  <si>
    <t xml:space="preserve">INV-01404</t>
  </si>
  <si>
    <t xml:space="preserve">INV-01405</t>
  </si>
  <si>
    <t xml:space="preserve">INV-01406</t>
  </si>
  <si>
    <t xml:space="preserve">INV-01407</t>
  </si>
  <si>
    <t xml:space="preserve">INV-01408</t>
  </si>
  <si>
    <t xml:space="preserve">INV-01409</t>
  </si>
  <si>
    <t xml:space="preserve">INV-01410</t>
  </si>
  <si>
    <t xml:space="preserve">INV-01411</t>
  </si>
  <si>
    <t xml:space="preserve">INV-01412</t>
  </si>
  <si>
    <t xml:space="preserve">INV-01413</t>
  </si>
  <si>
    <t xml:space="preserve">INV-01414</t>
  </si>
  <si>
    <t xml:space="preserve">INV-01415</t>
  </si>
  <si>
    <t xml:space="preserve">INV-01416</t>
  </si>
  <si>
    <t xml:space="preserve">INV-01417</t>
  </si>
  <si>
    <t xml:space="preserve">INV-01418</t>
  </si>
  <si>
    <t xml:space="preserve">INV-01419</t>
  </si>
  <si>
    <t xml:space="preserve">INV-01420</t>
  </si>
  <si>
    <t xml:space="preserve">INV-01421</t>
  </si>
  <si>
    <t xml:space="preserve">INV-01422</t>
  </si>
  <si>
    <t xml:space="preserve">INV-01423</t>
  </si>
  <si>
    <t xml:space="preserve">INV-01424</t>
  </si>
  <si>
    <t xml:space="preserve">INV-01425</t>
  </si>
  <si>
    <t xml:space="preserve">INV-01426</t>
  </si>
  <si>
    <t xml:space="preserve">INV-01427</t>
  </si>
  <si>
    <t xml:space="preserve">INV-01428</t>
  </si>
  <si>
    <t xml:space="preserve">INV-01429</t>
  </si>
  <si>
    <t xml:space="preserve">INV-01430</t>
  </si>
  <si>
    <t xml:space="preserve">INV-01431</t>
  </si>
  <si>
    <t xml:space="preserve">INV-01432</t>
  </si>
  <si>
    <t xml:space="preserve">INV-01433</t>
  </si>
  <si>
    <t xml:space="preserve">INV-01434</t>
  </si>
  <si>
    <t xml:space="preserve">INV-01435</t>
  </si>
  <si>
    <t xml:space="preserve">INV-01436</t>
  </si>
  <si>
    <t xml:space="preserve">INV-01437</t>
  </si>
  <si>
    <t xml:space="preserve">INV-01438</t>
  </si>
  <si>
    <t xml:space="preserve">INV-01439</t>
  </si>
  <si>
    <t xml:space="preserve">INV-01440</t>
  </si>
  <si>
    <t xml:space="preserve">INV-01441</t>
  </si>
  <si>
    <t xml:space="preserve">INV-01442</t>
  </si>
  <si>
    <t xml:space="preserve">INV-01443</t>
  </si>
  <si>
    <t xml:space="preserve">INV-01444</t>
  </si>
  <si>
    <t xml:space="preserve">INV-01445</t>
  </si>
  <si>
    <t xml:space="preserve">INV-01446</t>
  </si>
  <si>
    <t xml:space="preserve">INV-01447</t>
  </si>
  <si>
    <t xml:space="preserve">INV-01448</t>
  </si>
  <si>
    <t xml:space="preserve">INV-01449</t>
  </si>
  <si>
    <t xml:space="preserve">INV-01450</t>
  </si>
  <si>
    <t xml:space="preserve">INV-01451</t>
  </si>
  <si>
    <t xml:space="preserve">INV-01452</t>
  </si>
  <si>
    <t xml:space="preserve">INV-01453</t>
  </si>
  <si>
    <t xml:space="preserve">INV-01454</t>
  </si>
  <si>
    <t xml:space="preserve">INV-01455</t>
  </si>
  <si>
    <t xml:space="preserve">INV-01456</t>
  </si>
  <si>
    <t xml:space="preserve">INV-01457</t>
  </si>
  <si>
    <t xml:space="preserve">INV-01458</t>
  </si>
  <si>
    <t xml:space="preserve">INV-01459</t>
  </si>
  <si>
    <t xml:space="preserve">INV-01460</t>
  </si>
  <si>
    <t xml:space="preserve">INV-01461</t>
  </si>
  <si>
    <t xml:space="preserve">INV-01462</t>
  </si>
  <si>
    <t xml:space="preserve">INV-01463</t>
  </si>
  <si>
    <t xml:space="preserve">INV-01464</t>
  </si>
  <si>
    <t xml:space="preserve">INV-01465</t>
  </si>
  <si>
    <t xml:space="preserve">INV-01466</t>
  </si>
  <si>
    <t xml:space="preserve">INV-01467</t>
  </si>
  <si>
    <t xml:space="preserve">INV-01468</t>
  </si>
  <si>
    <t xml:space="preserve">INV-01469</t>
  </si>
  <si>
    <t xml:space="preserve">INV-01470</t>
  </si>
  <si>
    <t xml:space="preserve">INV-01471</t>
  </si>
  <si>
    <t xml:space="preserve">INV-01472</t>
  </si>
  <si>
    <t xml:space="preserve">INV-01473</t>
  </si>
  <si>
    <t xml:space="preserve">INV-01474</t>
  </si>
  <si>
    <t xml:space="preserve">INV-01475</t>
  </si>
  <si>
    <t xml:space="preserve">INV-01476</t>
  </si>
  <si>
    <t xml:space="preserve">INV-01477</t>
  </si>
  <si>
    <t xml:space="preserve">INV-01478</t>
  </si>
  <si>
    <t xml:space="preserve">INV-01479</t>
  </si>
  <si>
    <t xml:space="preserve">INV-01480</t>
  </si>
  <si>
    <t xml:space="preserve">INV-01481</t>
  </si>
  <si>
    <t xml:space="preserve">INV-01482</t>
  </si>
  <si>
    <t xml:space="preserve">INV-01483</t>
  </si>
  <si>
    <t xml:space="preserve">INV-01484</t>
  </si>
  <si>
    <t xml:space="preserve">INV-01485</t>
  </si>
  <si>
    <t xml:space="preserve">INV-01486</t>
  </si>
  <si>
    <t xml:space="preserve">INV-01487</t>
  </si>
  <si>
    <t xml:space="preserve">INV-01488</t>
  </si>
  <si>
    <t xml:space="preserve">INV-01489</t>
  </si>
  <si>
    <t xml:space="preserve">INV-01490</t>
  </si>
  <si>
    <t xml:space="preserve">INV-01491</t>
  </si>
  <si>
    <t xml:space="preserve">INV-01492</t>
  </si>
  <si>
    <t xml:space="preserve">INV-01493</t>
  </si>
  <si>
    <t xml:space="preserve">INV-01494</t>
  </si>
  <si>
    <t xml:space="preserve">INV-01495</t>
  </si>
  <si>
    <t xml:space="preserve">INV-01496</t>
  </si>
  <si>
    <t xml:space="preserve">INV-01497</t>
  </si>
  <si>
    <t xml:space="preserve">INV-01498</t>
  </si>
  <si>
    <t xml:space="preserve">INV-01499</t>
  </si>
  <si>
    <t xml:space="preserve">INV-01500</t>
  </si>
  <si>
    <t xml:space="preserve">INV-01501</t>
  </si>
  <si>
    <t xml:space="preserve">INV-01502</t>
  </si>
  <si>
    <t xml:space="preserve">INV-01503</t>
  </si>
  <si>
    <t xml:space="preserve">INV-01504</t>
  </si>
  <si>
    <t xml:space="preserve">INV-01505</t>
  </si>
  <si>
    <t xml:space="preserve">INV-01506</t>
  </si>
  <si>
    <t xml:space="preserve">INV-01507</t>
  </si>
  <si>
    <t xml:space="preserve">INV-01508</t>
  </si>
  <si>
    <t xml:space="preserve">INV-01509</t>
  </si>
  <si>
    <t xml:space="preserve">INV-01510</t>
  </si>
  <si>
    <t xml:space="preserve">INV-01511</t>
  </si>
  <si>
    <t xml:space="preserve">INV-01512</t>
  </si>
  <si>
    <t xml:space="preserve">INV-01513</t>
  </si>
  <si>
    <t xml:space="preserve">INV-01514</t>
  </si>
  <si>
    <t xml:space="preserve">INV-01515</t>
  </si>
  <si>
    <t xml:space="preserve">INV-01516</t>
  </si>
  <si>
    <t xml:space="preserve">INV-01517</t>
  </si>
  <si>
    <t xml:space="preserve">INV-01518</t>
  </si>
  <si>
    <t xml:space="preserve">INV-01519</t>
  </si>
  <si>
    <t xml:space="preserve">INV-01520</t>
  </si>
  <si>
    <t xml:space="preserve">INV-01521</t>
  </si>
  <si>
    <t xml:space="preserve">INV-01522</t>
  </si>
  <si>
    <t xml:space="preserve">INV-01523</t>
  </si>
  <si>
    <t xml:space="preserve">INV-01524</t>
  </si>
  <si>
    <t xml:space="preserve">INV-01525</t>
  </si>
  <si>
    <t xml:space="preserve">INV-01526</t>
  </si>
  <si>
    <t xml:space="preserve">INV-01527</t>
  </si>
  <si>
    <t xml:space="preserve">INV-01528</t>
  </si>
  <si>
    <t xml:space="preserve">INV-01529</t>
  </si>
  <si>
    <t xml:space="preserve">INV-01530</t>
  </si>
  <si>
    <t xml:space="preserve">INV-01531</t>
  </si>
  <si>
    <t xml:space="preserve">INV-01532</t>
  </si>
  <si>
    <t xml:space="preserve">INV-01533</t>
  </si>
  <si>
    <t xml:space="preserve">INV-01534</t>
  </si>
  <si>
    <t xml:space="preserve">INV-01535</t>
  </si>
  <si>
    <t xml:space="preserve">INV-01536</t>
  </si>
  <si>
    <t xml:space="preserve">INV-01537</t>
  </si>
  <si>
    <t xml:space="preserve">INV-01538</t>
  </si>
  <si>
    <t xml:space="preserve">INV-01539</t>
  </si>
  <si>
    <t xml:space="preserve">INV-01540</t>
  </si>
  <si>
    <t xml:space="preserve">INV-01541</t>
  </si>
  <si>
    <t xml:space="preserve">INV-01542</t>
  </si>
  <si>
    <t xml:space="preserve">INV-01543</t>
  </si>
  <si>
    <t xml:space="preserve">INV-01544</t>
  </si>
  <si>
    <t xml:space="preserve">INV-01545</t>
  </si>
  <si>
    <t xml:space="preserve">INV-01546</t>
  </si>
  <si>
    <t xml:space="preserve">INV-01547</t>
  </si>
  <si>
    <t xml:space="preserve">INV-01548</t>
  </si>
  <si>
    <t xml:space="preserve">INV-01549</t>
  </si>
  <si>
    <t xml:space="preserve">INV-01550</t>
  </si>
  <si>
    <t xml:space="preserve">INV-01551</t>
  </si>
  <si>
    <t xml:space="preserve">INV-01552</t>
  </si>
  <si>
    <t xml:space="preserve">INV-01553</t>
  </si>
  <si>
    <t xml:space="preserve">INV-01554</t>
  </si>
  <si>
    <t xml:space="preserve">INV-01555</t>
  </si>
  <si>
    <t xml:space="preserve">INV-01556</t>
  </si>
  <si>
    <t xml:space="preserve">INV-01557</t>
  </si>
  <si>
    <t xml:space="preserve">INV-01558</t>
  </si>
  <si>
    <t xml:space="preserve">INV-01559</t>
  </si>
  <si>
    <t xml:space="preserve">INV-01560</t>
  </si>
  <si>
    <t xml:space="preserve">INV-01561</t>
  </si>
  <si>
    <t xml:space="preserve">INV-01562</t>
  </si>
  <si>
    <t xml:space="preserve">INV-01563</t>
  </si>
  <si>
    <t xml:space="preserve">INV-01564</t>
  </si>
  <si>
    <t xml:space="preserve">INV-01565</t>
  </si>
  <si>
    <t xml:space="preserve">INV-01566</t>
  </si>
  <si>
    <t xml:space="preserve">INV-01567</t>
  </si>
  <si>
    <t xml:space="preserve">INV-01568</t>
  </si>
  <si>
    <t xml:space="preserve">INV-01569</t>
  </si>
  <si>
    <t xml:space="preserve">INV-01570</t>
  </si>
  <si>
    <t xml:space="preserve">INV-01571</t>
  </si>
  <si>
    <t xml:space="preserve">INV-01572</t>
  </si>
  <si>
    <t xml:space="preserve">INV-01573</t>
  </si>
  <si>
    <t xml:space="preserve">INV-01574</t>
  </si>
  <si>
    <t xml:space="preserve">INV-01575</t>
  </si>
  <si>
    <t xml:space="preserve">INV-01576</t>
  </si>
  <si>
    <t xml:space="preserve">INV-01577</t>
  </si>
  <si>
    <t xml:space="preserve">INV-01578</t>
  </si>
  <si>
    <t xml:space="preserve">INV-01579</t>
  </si>
  <si>
    <t xml:space="preserve">INV-01580</t>
  </si>
  <si>
    <t xml:space="preserve">INV-01581</t>
  </si>
  <si>
    <t xml:space="preserve">INV-01582</t>
  </si>
  <si>
    <t xml:space="preserve">INV-01583</t>
  </si>
  <si>
    <t xml:space="preserve">INV-01584</t>
  </si>
  <si>
    <t xml:space="preserve">INV-01585</t>
  </si>
  <si>
    <t xml:space="preserve">INV-01586</t>
  </si>
  <si>
    <t xml:space="preserve">INV-01587</t>
  </si>
  <si>
    <t xml:space="preserve">INV-01588</t>
  </si>
  <si>
    <t xml:space="preserve">INV-01589</t>
  </si>
  <si>
    <t xml:space="preserve">INV-01590</t>
  </si>
  <si>
    <t xml:space="preserve">INV-01591</t>
  </si>
  <si>
    <t xml:space="preserve">INV-01592</t>
  </si>
  <si>
    <t xml:space="preserve">INV-01593</t>
  </si>
  <si>
    <t xml:space="preserve">INV-01594</t>
  </si>
  <si>
    <t xml:space="preserve">INV-01595</t>
  </si>
  <si>
    <t xml:space="preserve">INV-01596</t>
  </si>
  <si>
    <t xml:space="preserve">INV-01597</t>
  </si>
  <si>
    <t xml:space="preserve">INV-01598</t>
  </si>
  <si>
    <t xml:space="preserve">INV-01599</t>
  </si>
  <si>
    <t xml:space="preserve">INV-01600</t>
  </si>
  <si>
    <t xml:space="preserve">INV-01601</t>
  </si>
  <si>
    <t xml:space="preserve">INV-01602</t>
  </si>
  <si>
    <t xml:space="preserve">INV-01603</t>
  </si>
  <si>
    <t xml:space="preserve">INV-01604</t>
  </si>
  <si>
    <t xml:space="preserve">INV-01605</t>
  </si>
  <si>
    <t xml:space="preserve">INV-01606</t>
  </si>
  <si>
    <t xml:space="preserve">INV-01607</t>
  </si>
  <si>
    <t xml:space="preserve">INV-01608</t>
  </si>
  <si>
    <t xml:space="preserve">INV-01609</t>
  </si>
  <si>
    <t xml:space="preserve">INV-01610</t>
  </si>
  <si>
    <t xml:space="preserve">INV-01611</t>
  </si>
  <si>
    <t xml:space="preserve">INV-01612</t>
  </si>
  <si>
    <t xml:space="preserve">INV-01613</t>
  </si>
  <si>
    <t xml:space="preserve">INV-01614</t>
  </si>
  <si>
    <t xml:space="preserve">INV-01615</t>
  </si>
  <si>
    <t xml:space="preserve">INV-01616</t>
  </si>
  <si>
    <t xml:space="preserve">INV-01617</t>
  </si>
  <si>
    <t xml:space="preserve">INV-01618</t>
  </si>
  <si>
    <t xml:space="preserve">INV-01619</t>
  </si>
  <si>
    <t xml:space="preserve">INV-01620</t>
  </si>
  <si>
    <t xml:space="preserve">INV-01621</t>
  </si>
  <si>
    <t xml:space="preserve">INV-01622</t>
  </si>
  <si>
    <t xml:space="preserve">INV-01623</t>
  </si>
  <si>
    <t xml:space="preserve">INV-01624</t>
  </si>
  <si>
    <t xml:space="preserve">INV-01625</t>
  </si>
  <si>
    <t xml:space="preserve">INV-01626</t>
  </si>
  <si>
    <t xml:space="preserve">INV-01627</t>
  </si>
  <si>
    <t xml:space="preserve">INV-01628</t>
  </si>
  <si>
    <t xml:space="preserve">INV-01629</t>
  </si>
  <si>
    <t xml:space="preserve">INV-01630</t>
  </si>
  <si>
    <t xml:space="preserve">INV-01631</t>
  </si>
  <si>
    <t xml:space="preserve">INV-01632</t>
  </si>
  <si>
    <t xml:space="preserve">INV-01633</t>
  </si>
  <si>
    <t xml:space="preserve">INV-01634</t>
  </si>
  <si>
    <t xml:space="preserve">INV-01635</t>
  </si>
  <si>
    <t xml:space="preserve">INV-01636</t>
  </si>
  <si>
    <t xml:space="preserve">INV-01637</t>
  </si>
  <si>
    <t xml:space="preserve">INV-01638</t>
  </si>
  <si>
    <t xml:space="preserve">INV-01639</t>
  </si>
  <si>
    <t xml:space="preserve">INV-01640</t>
  </si>
  <si>
    <t xml:space="preserve">INV-01641</t>
  </si>
  <si>
    <t xml:space="preserve">INV-01642</t>
  </si>
  <si>
    <t xml:space="preserve">INV-01643</t>
  </si>
  <si>
    <t xml:space="preserve">INV-01644</t>
  </si>
  <si>
    <t xml:space="preserve">INV-01645</t>
  </si>
  <si>
    <t xml:space="preserve">INV-01646</t>
  </si>
  <si>
    <t xml:space="preserve">INV-01647</t>
  </si>
  <si>
    <t xml:space="preserve">INV-01648</t>
  </si>
  <si>
    <t xml:space="preserve">INV-01649</t>
  </si>
  <si>
    <t xml:space="preserve">INV-01650</t>
  </si>
  <si>
    <t xml:space="preserve">INV-01651</t>
  </si>
  <si>
    <t xml:space="preserve">INV-01652</t>
  </si>
  <si>
    <t xml:space="preserve">INV-01653</t>
  </si>
  <si>
    <t xml:space="preserve">INV-01654</t>
  </si>
  <si>
    <t xml:space="preserve">INV-01655</t>
  </si>
  <si>
    <t xml:space="preserve">INV-01656</t>
  </si>
  <si>
    <t xml:space="preserve">INV-01657</t>
  </si>
  <si>
    <t xml:space="preserve">INV-01658</t>
  </si>
  <si>
    <t xml:space="preserve">INV-01659</t>
  </si>
  <si>
    <t xml:space="preserve">INV-01660</t>
  </si>
  <si>
    <t xml:space="preserve">INV-01661</t>
  </si>
  <si>
    <t xml:space="preserve">INV-01662</t>
  </si>
  <si>
    <t xml:space="preserve">INV-01663</t>
  </si>
  <si>
    <t xml:space="preserve">INV-01664</t>
  </si>
  <si>
    <t xml:space="preserve">INV-01665</t>
  </si>
  <si>
    <t xml:space="preserve">INV-01666</t>
  </si>
  <si>
    <t xml:space="preserve">INV-01667</t>
  </si>
  <si>
    <t xml:space="preserve">INV-01668</t>
  </si>
  <si>
    <t xml:space="preserve">INV-01669</t>
  </si>
  <si>
    <t xml:space="preserve">INV-01670</t>
  </si>
  <si>
    <t xml:space="preserve">INV-01671</t>
  </si>
  <si>
    <t xml:space="preserve">INV-01672</t>
  </si>
  <si>
    <t xml:space="preserve">INV-01673</t>
  </si>
  <si>
    <t xml:space="preserve">INV-01674</t>
  </si>
  <si>
    <t xml:space="preserve">INV-01675</t>
  </si>
  <si>
    <t xml:space="preserve">INV-01676</t>
  </si>
  <si>
    <t xml:space="preserve">INV-01677</t>
  </si>
  <si>
    <t xml:space="preserve">INV-01678</t>
  </si>
  <si>
    <t xml:space="preserve">INV-01679</t>
  </si>
  <si>
    <t xml:space="preserve">INV-01680</t>
  </si>
  <si>
    <t xml:space="preserve">INV-01681</t>
  </si>
  <si>
    <t xml:space="preserve">INV-01682</t>
  </si>
  <si>
    <t xml:space="preserve">INV-01683</t>
  </si>
  <si>
    <t xml:space="preserve">INV-01684</t>
  </si>
  <si>
    <t xml:space="preserve">INV-01685</t>
  </si>
  <si>
    <t xml:space="preserve">INV-01686</t>
  </si>
  <si>
    <t xml:space="preserve">INV-01687</t>
  </si>
  <si>
    <t xml:space="preserve">INV-01688</t>
  </si>
  <si>
    <t xml:space="preserve">INV-01689</t>
  </si>
  <si>
    <t xml:space="preserve">INV-01690</t>
  </si>
  <si>
    <t xml:space="preserve">INV-01691</t>
  </si>
  <si>
    <t xml:space="preserve">INV-01692</t>
  </si>
  <si>
    <t xml:space="preserve">INV-01693</t>
  </si>
  <si>
    <t xml:space="preserve">INV-01694</t>
  </si>
  <si>
    <t xml:space="preserve">INV-01695</t>
  </si>
  <si>
    <t xml:space="preserve">INV-01696</t>
  </si>
  <si>
    <t xml:space="preserve">INV-01697</t>
  </si>
  <si>
    <t xml:space="preserve">INV-01698</t>
  </si>
  <si>
    <t xml:space="preserve">INV-01699</t>
  </si>
  <si>
    <t xml:space="preserve">INV-01700</t>
  </si>
  <si>
    <t xml:space="preserve">INV-01701</t>
  </si>
  <si>
    <t xml:space="preserve">INV-01702</t>
  </si>
  <si>
    <t xml:space="preserve">INV-01703</t>
  </si>
  <si>
    <t xml:space="preserve">INV-01704</t>
  </si>
  <si>
    <t xml:space="preserve">INV-01705</t>
  </si>
  <si>
    <t xml:space="preserve">INV-01706</t>
  </si>
  <si>
    <t xml:space="preserve">INV-01707</t>
  </si>
  <si>
    <t xml:space="preserve">INV-01708</t>
  </si>
  <si>
    <t xml:space="preserve">INV-01709</t>
  </si>
  <si>
    <t xml:space="preserve">INV-01710</t>
  </si>
  <si>
    <t xml:space="preserve">INV-01711</t>
  </si>
  <si>
    <t xml:space="preserve">INV-01712</t>
  </si>
  <si>
    <t xml:space="preserve">INV-01713</t>
  </si>
  <si>
    <t xml:space="preserve">INV-01714</t>
  </si>
  <si>
    <t xml:space="preserve">INV-01715</t>
  </si>
  <si>
    <t xml:space="preserve">INV-01716</t>
  </si>
  <si>
    <t xml:space="preserve">INV-01717</t>
  </si>
  <si>
    <t xml:space="preserve">INV-01718</t>
  </si>
  <si>
    <t xml:space="preserve">INV-01719</t>
  </si>
  <si>
    <t xml:space="preserve">INV-01720</t>
  </si>
  <si>
    <t xml:space="preserve">INV-01721</t>
  </si>
  <si>
    <t xml:space="preserve">INV-01722</t>
  </si>
  <si>
    <t xml:space="preserve">INV-01723</t>
  </si>
  <si>
    <t xml:space="preserve">INV-01724</t>
  </si>
  <si>
    <t xml:space="preserve">INV-01725</t>
  </si>
  <si>
    <t xml:space="preserve">INV-01726</t>
  </si>
  <si>
    <t xml:space="preserve">INV-01727</t>
  </si>
  <si>
    <t xml:space="preserve">INV-01728</t>
  </si>
  <si>
    <t xml:space="preserve">INV-01729</t>
  </si>
  <si>
    <t xml:space="preserve">INV-01730</t>
  </si>
  <si>
    <t xml:space="preserve">INV-01731</t>
  </si>
  <si>
    <t xml:space="preserve">INV-01732</t>
  </si>
  <si>
    <t xml:space="preserve">INV-01733</t>
  </si>
  <si>
    <t xml:space="preserve">INV-01734</t>
  </si>
  <si>
    <t xml:space="preserve">INV-01735</t>
  </si>
  <si>
    <t xml:space="preserve">INV-01736</t>
  </si>
  <si>
    <t xml:space="preserve">INV-01737</t>
  </si>
  <si>
    <t xml:space="preserve">INV-01738</t>
  </si>
  <si>
    <t xml:space="preserve">INV-01739</t>
  </si>
  <si>
    <t xml:space="preserve">INV-01740</t>
  </si>
  <si>
    <t xml:space="preserve">INV-01741</t>
  </si>
  <si>
    <t xml:space="preserve">INV-01742</t>
  </si>
  <si>
    <t xml:space="preserve">INV-01743</t>
  </si>
  <si>
    <t xml:space="preserve">INV-01744</t>
  </si>
  <si>
    <t xml:space="preserve">INV-01745</t>
  </si>
  <si>
    <t xml:space="preserve">INV-01746</t>
  </si>
  <si>
    <t xml:space="preserve">INV-01747</t>
  </si>
  <si>
    <t xml:space="preserve">INV-01748</t>
  </si>
  <si>
    <t xml:space="preserve">INV-01749</t>
  </si>
  <si>
    <t xml:space="preserve">INV-01750</t>
  </si>
  <si>
    <t xml:space="preserve">INV-01751</t>
  </si>
  <si>
    <t xml:space="preserve">INV-01752</t>
  </si>
  <si>
    <t xml:space="preserve">INV-01753</t>
  </si>
  <si>
    <t xml:space="preserve">INV-01754</t>
  </si>
  <si>
    <t xml:space="preserve">INV-01755</t>
  </si>
  <si>
    <t xml:space="preserve">INV-01756</t>
  </si>
  <si>
    <t xml:space="preserve">INV-01757</t>
  </si>
  <si>
    <t xml:space="preserve">INV-01758</t>
  </si>
  <si>
    <t xml:space="preserve">INV-01759</t>
  </si>
  <si>
    <t xml:space="preserve">INV-01760</t>
  </si>
  <si>
    <t xml:space="preserve">INV-01761</t>
  </si>
  <si>
    <t xml:space="preserve">INV-01762</t>
  </si>
  <si>
    <t xml:space="preserve">INV-01763</t>
  </si>
  <si>
    <t xml:space="preserve">INV-01764</t>
  </si>
  <si>
    <t xml:space="preserve">INV-01765</t>
  </si>
  <si>
    <t xml:space="preserve">INV-01766</t>
  </si>
  <si>
    <t xml:space="preserve">INV-01767</t>
  </si>
  <si>
    <t xml:space="preserve">INV-01768</t>
  </si>
  <si>
    <t xml:space="preserve">INV-01769</t>
  </si>
  <si>
    <t xml:space="preserve">INV-01770</t>
  </si>
  <si>
    <t xml:space="preserve">INV-01771</t>
  </si>
  <si>
    <t xml:space="preserve">INV-01772</t>
  </si>
  <si>
    <t xml:space="preserve">INV-01773</t>
  </si>
  <si>
    <t xml:space="preserve">INV-01774</t>
  </si>
  <si>
    <t xml:space="preserve">INV-01775</t>
  </si>
  <si>
    <t xml:space="preserve">INV-01776</t>
  </si>
  <si>
    <t xml:space="preserve">INV-01777</t>
  </si>
  <si>
    <t xml:space="preserve">INV-01778</t>
  </si>
  <si>
    <t xml:space="preserve">INV-01779</t>
  </si>
  <si>
    <t xml:space="preserve">INV-01780</t>
  </si>
  <si>
    <t xml:space="preserve">INV-01781</t>
  </si>
  <si>
    <t xml:space="preserve">INV-01782</t>
  </si>
  <si>
    <t xml:space="preserve">INV-01783</t>
  </si>
  <si>
    <t xml:space="preserve">INV-01784</t>
  </si>
  <si>
    <t xml:space="preserve">INV-01785</t>
  </si>
  <si>
    <t xml:space="preserve">INV-01786</t>
  </si>
  <si>
    <t xml:space="preserve">INV-01787</t>
  </si>
  <si>
    <t xml:space="preserve">INV-01788</t>
  </si>
  <si>
    <t xml:space="preserve">INV-01789</t>
  </si>
  <si>
    <t xml:space="preserve">INV-01790</t>
  </si>
  <si>
    <t xml:space="preserve">INV-01791</t>
  </si>
  <si>
    <t xml:space="preserve">INV-01792</t>
  </si>
  <si>
    <t xml:space="preserve">INV-01793</t>
  </si>
  <si>
    <t xml:space="preserve">INV-01794</t>
  </si>
  <si>
    <t xml:space="preserve">INV-01795</t>
  </si>
  <si>
    <t xml:space="preserve">INV-01796</t>
  </si>
  <si>
    <t xml:space="preserve">INV-01797</t>
  </si>
  <si>
    <t xml:space="preserve">INV-01798</t>
  </si>
  <si>
    <t xml:space="preserve">INV-01799</t>
  </si>
  <si>
    <t xml:space="preserve">INV-01800</t>
  </si>
  <si>
    <t xml:space="preserve">INV-01801</t>
  </si>
  <si>
    <t xml:space="preserve">INV-01802</t>
  </si>
  <si>
    <t xml:space="preserve">INV-01803</t>
  </si>
  <si>
    <t xml:space="preserve">INV-01804</t>
  </si>
  <si>
    <t xml:space="preserve">INV-01805</t>
  </si>
  <si>
    <t xml:space="preserve">INV-01806</t>
  </si>
  <si>
    <t xml:space="preserve">INV-01807</t>
  </si>
  <si>
    <t xml:space="preserve">INV-01808</t>
  </si>
  <si>
    <t xml:space="preserve">INV-01809</t>
  </si>
  <si>
    <t xml:space="preserve">INV-01810</t>
  </si>
  <si>
    <t xml:space="preserve">INV-01811</t>
  </si>
  <si>
    <t xml:space="preserve">INV-01812</t>
  </si>
  <si>
    <t xml:space="preserve">INV-01813</t>
  </si>
  <si>
    <t xml:space="preserve">INV-01814</t>
  </si>
  <si>
    <t xml:space="preserve">INV-01815</t>
  </si>
  <si>
    <t xml:space="preserve">INV-01816</t>
  </si>
  <si>
    <t xml:space="preserve">INV-01817</t>
  </si>
  <si>
    <t xml:space="preserve">INV-01818</t>
  </si>
  <si>
    <t xml:space="preserve">INV-01819</t>
  </si>
  <si>
    <t xml:space="preserve">INV-01820</t>
  </si>
  <si>
    <t xml:space="preserve">INV-01821</t>
  </si>
  <si>
    <t xml:space="preserve">INV-01822</t>
  </si>
  <si>
    <t xml:space="preserve">INV-01823</t>
  </si>
  <si>
    <t xml:space="preserve">INV-01824</t>
  </si>
  <si>
    <t xml:space="preserve">INV-01825</t>
  </si>
  <si>
    <t xml:space="preserve">INV-01826</t>
  </si>
  <si>
    <t xml:space="preserve">INV-01827</t>
  </si>
  <si>
    <t xml:space="preserve">INV-01828</t>
  </si>
  <si>
    <t xml:space="preserve">INV-01829</t>
  </si>
  <si>
    <t xml:space="preserve">INV-01830</t>
  </si>
  <si>
    <t xml:space="preserve">INV-01831</t>
  </si>
  <si>
    <t xml:space="preserve">INV-01832</t>
  </si>
  <si>
    <t xml:space="preserve">INV-01833</t>
  </si>
  <si>
    <t xml:space="preserve">INV-01834</t>
  </si>
  <si>
    <t xml:space="preserve">INV-01835</t>
  </si>
  <si>
    <t xml:space="preserve">INV-01836</t>
  </si>
  <si>
    <t xml:space="preserve">INV-01837</t>
  </si>
  <si>
    <t xml:space="preserve">INV-01838</t>
  </si>
  <si>
    <t xml:space="preserve">INV-01839</t>
  </si>
  <si>
    <t xml:space="preserve">INV-01840</t>
  </si>
  <si>
    <t xml:space="preserve">INV-01841</t>
  </si>
  <si>
    <t xml:space="preserve">INV-01842</t>
  </si>
  <si>
    <t xml:space="preserve">INV-01843</t>
  </si>
  <si>
    <t xml:space="preserve">INV-01844</t>
  </si>
  <si>
    <t xml:space="preserve">INV-01845</t>
  </si>
  <si>
    <t xml:space="preserve">INV-01846</t>
  </si>
  <si>
    <t xml:space="preserve">INV-01847</t>
  </si>
  <si>
    <t xml:space="preserve">INV-01848</t>
  </si>
  <si>
    <t xml:space="preserve">INV-01849</t>
  </si>
  <si>
    <t xml:space="preserve">INV-01850</t>
  </si>
  <si>
    <t xml:space="preserve">INV-01851</t>
  </si>
  <si>
    <t xml:space="preserve">INV-01852</t>
  </si>
  <si>
    <t xml:space="preserve">INV-01853</t>
  </si>
  <si>
    <t xml:space="preserve">INV-01854</t>
  </si>
  <si>
    <t xml:space="preserve">INV-01855</t>
  </si>
  <si>
    <t xml:space="preserve">INV-01856</t>
  </si>
  <si>
    <t xml:space="preserve">INV-01857</t>
  </si>
  <si>
    <t xml:space="preserve">INV-01858</t>
  </si>
  <si>
    <t xml:space="preserve">INV-01859</t>
  </si>
  <si>
    <t xml:space="preserve">INV-01860</t>
  </si>
  <si>
    <t xml:space="preserve">INV-01861</t>
  </si>
  <si>
    <t xml:space="preserve">INV-01862</t>
  </si>
  <si>
    <t xml:space="preserve">INV-01863</t>
  </si>
  <si>
    <t xml:space="preserve">INV-01864</t>
  </si>
  <si>
    <t xml:space="preserve">INV-01865</t>
  </si>
  <si>
    <t xml:space="preserve">INV-01866</t>
  </si>
  <si>
    <t xml:space="preserve">INV-01867</t>
  </si>
  <si>
    <t xml:space="preserve">INV-01868</t>
  </si>
  <si>
    <t xml:space="preserve">INV-01869</t>
  </si>
  <si>
    <t xml:space="preserve">INV-01870</t>
  </si>
  <si>
    <t xml:space="preserve">INV-01871</t>
  </si>
  <si>
    <t xml:space="preserve">INV-01872</t>
  </si>
  <si>
    <t xml:space="preserve">INV-01873</t>
  </si>
  <si>
    <t xml:space="preserve">INV-01874</t>
  </si>
  <si>
    <t xml:space="preserve">INV-01875</t>
  </si>
  <si>
    <t xml:space="preserve">INV-01876</t>
  </si>
  <si>
    <t xml:space="preserve">INV-01877</t>
  </si>
  <si>
    <t xml:space="preserve">INV-01878</t>
  </si>
  <si>
    <t xml:space="preserve">INV-01879</t>
  </si>
  <si>
    <t xml:space="preserve">INV-01880</t>
  </si>
  <si>
    <t xml:space="preserve">INV-01881</t>
  </si>
  <si>
    <t xml:space="preserve">INV-01882</t>
  </si>
  <si>
    <t xml:space="preserve">INV-01883</t>
  </si>
  <si>
    <t xml:space="preserve">INV-01884</t>
  </si>
  <si>
    <t xml:space="preserve">INV-01885</t>
  </si>
  <si>
    <t xml:space="preserve">INV-01886</t>
  </si>
  <si>
    <t xml:space="preserve">INV-01887</t>
  </si>
  <si>
    <t xml:space="preserve">INV-01888</t>
  </si>
  <si>
    <t xml:space="preserve">INV-01889</t>
  </si>
  <si>
    <t xml:space="preserve">INV-01890</t>
  </si>
  <si>
    <t xml:space="preserve">INV-01891</t>
  </si>
  <si>
    <t xml:space="preserve">INV-01892</t>
  </si>
  <si>
    <t xml:space="preserve">INV-01893</t>
  </si>
  <si>
    <t xml:space="preserve">INV-01894</t>
  </si>
  <si>
    <t xml:space="preserve">INV-01895</t>
  </si>
  <si>
    <t xml:space="preserve">INV-01896</t>
  </si>
  <si>
    <t xml:space="preserve">INV-01897</t>
  </si>
  <si>
    <t xml:space="preserve">INV-01898</t>
  </si>
  <si>
    <t xml:space="preserve">INV-01899</t>
  </si>
  <si>
    <t xml:space="preserve">INV-01900</t>
  </si>
  <si>
    <t xml:space="preserve">INV-01901</t>
  </si>
  <si>
    <t xml:space="preserve">INV-01902</t>
  </si>
  <si>
    <t xml:space="preserve">INV-01903</t>
  </si>
  <si>
    <t xml:space="preserve">INV-01904</t>
  </si>
  <si>
    <t xml:space="preserve">INV-01905</t>
  </si>
  <si>
    <t xml:space="preserve">INV-01906</t>
  </si>
  <si>
    <t xml:space="preserve">INV-01907</t>
  </si>
  <si>
    <t xml:space="preserve">INV-01908</t>
  </si>
  <si>
    <t xml:space="preserve">INV-01909</t>
  </si>
  <si>
    <t xml:space="preserve">INV-01910</t>
  </si>
  <si>
    <t xml:space="preserve">INV-01911</t>
  </si>
  <si>
    <t xml:space="preserve">INV-01912</t>
  </si>
  <si>
    <t xml:space="preserve">INV-01913</t>
  </si>
  <si>
    <t xml:space="preserve">INV-01914</t>
  </si>
  <si>
    <t xml:space="preserve">INV-01915</t>
  </si>
  <si>
    <t xml:space="preserve">INV-01916</t>
  </si>
  <si>
    <t xml:space="preserve">INV-01917</t>
  </si>
  <si>
    <t xml:space="preserve">INV-01918</t>
  </si>
  <si>
    <t xml:space="preserve">INV-01919</t>
  </si>
  <si>
    <t xml:space="preserve">INV-01920</t>
  </si>
  <si>
    <t xml:space="preserve">INV-01921</t>
  </si>
  <si>
    <t xml:space="preserve">INV-01922</t>
  </si>
  <si>
    <t xml:space="preserve">INV-01923</t>
  </si>
  <si>
    <t xml:space="preserve">INV-01924</t>
  </si>
  <si>
    <t xml:space="preserve">INV-01925</t>
  </si>
  <si>
    <t xml:space="preserve">INV-01926</t>
  </si>
  <si>
    <t xml:space="preserve">INV-01927</t>
  </si>
  <si>
    <t xml:space="preserve">INV-01928</t>
  </si>
  <si>
    <t xml:space="preserve">INV-01929</t>
  </si>
  <si>
    <t xml:space="preserve">INV-01930</t>
  </si>
  <si>
    <t xml:space="preserve">INV-01931</t>
  </si>
  <si>
    <t xml:space="preserve">INV-01932</t>
  </si>
  <si>
    <t xml:space="preserve">INV-01933</t>
  </si>
  <si>
    <t xml:space="preserve">INV-01934</t>
  </si>
  <si>
    <t xml:space="preserve">INV-01935</t>
  </si>
  <si>
    <t xml:space="preserve">INV-01936</t>
  </si>
  <si>
    <t xml:space="preserve">INV-01937</t>
  </si>
  <si>
    <t xml:space="preserve">INV-01938</t>
  </si>
  <si>
    <t xml:space="preserve">INV-01939</t>
  </si>
  <si>
    <t xml:space="preserve">INV-01940</t>
  </si>
  <si>
    <t xml:space="preserve">INV-01941</t>
  </si>
  <si>
    <t xml:space="preserve">INV-01942</t>
  </si>
  <si>
    <t xml:space="preserve">INV-01943</t>
  </si>
  <si>
    <t xml:space="preserve">INV-01944</t>
  </si>
  <si>
    <t xml:space="preserve">INV-01945</t>
  </si>
  <si>
    <t xml:space="preserve">INV-01946</t>
  </si>
  <si>
    <t xml:space="preserve">INV-01947</t>
  </si>
  <si>
    <t xml:space="preserve">INV-01948</t>
  </si>
  <si>
    <t xml:space="preserve">INV-01949</t>
  </si>
  <si>
    <t xml:space="preserve">INV-01950</t>
  </si>
  <si>
    <t xml:space="preserve">INV-01951</t>
  </si>
  <si>
    <t xml:space="preserve">INV-01952</t>
  </si>
  <si>
    <t xml:space="preserve">INV-01953</t>
  </si>
  <si>
    <t xml:space="preserve">GRAND TOTALS</t>
  </si>
  <si>
    <t xml:space="preserve">📦  PRODUCT INVENTORY MANAGEMENT</t>
  </si>
  <si>
    <t xml:space="preserve">Product ID</t>
  </si>
  <si>
    <t xml:space="preserve">Barcode</t>
  </si>
  <si>
    <t xml:space="preserve">Supplier</t>
  </si>
  <si>
    <t xml:space="preserve">Cost Price</t>
  </si>
  <si>
    <t xml:space="preserve">Selling Price</t>
  </si>
  <si>
    <t xml:space="preserve">Current Stock</t>
  </si>
  <si>
    <t xml:space="preserve">Min Stock Level</t>
  </si>
  <si>
    <t xml:space="preserve">Stock Status</t>
  </si>
  <si>
    <t xml:space="preserve">Inventory Value</t>
  </si>
  <si>
    <t xml:space="preserve">Expiry Date</t>
  </si>
  <si>
    <t xml:space="preserve">PROD-001</t>
  </si>
  <si>
    <t xml:space="preserve">8901234567890</t>
  </si>
  <si>
    <t xml:space="preserve">Espresso Coffee (kg)</t>
  </si>
  <si>
    <t xml:space="preserve">CoffeeSup Co</t>
  </si>
  <si>
    <t xml:space="preserve">PROD-002</t>
  </si>
  <si>
    <t xml:space="preserve">8901234567891</t>
  </si>
  <si>
    <t xml:space="preserve">Latte Mix (pack)</t>
  </si>
  <si>
    <t xml:space="preserve">PROD-003</t>
  </si>
  <si>
    <t xml:space="preserve">8901234567892</t>
  </si>
  <si>
    <t xml:space="preserve">BakeryWorld</t>
  </si>
  <si>
    <t xml:space="preserve">PROD-004</t>
  </si>
  <si>
    <t xml:space="preserve">8901234567893</t>
  </si>
  <si>
    <t xml:space="preserve">Chocolate Cake (slice)</t>
  </si>
  <si>
    <t xml:space="preserve">PROD-005</t>
  </si>
  <si>
    <t xml:space="preserve">8901234567894</t>
  </si>
  <si>
    <t xml:space="preserve">Mineral Water (500ml)</t>
  </si>
  <si>
    <t xml:space="preserve">AquaSupplies</t>
  </si>
  <si>
    <t xml:space="preserve">PROD-006</t>
  </si>
  <si>
    <t xml:space="preserve">8901234567895</t>
  </si>
  <si>
    <t xml:space="preserve">Fried Chicken (piece)</t>
  </si>
  <si>
    <t xml:space="preserve">MeatHouse PH</t>
  </si>
  <si>
    <t xml:space="preserve">PROD-007</t>
  </si>
  <si>
    <t xml:space="preserve">8901234567896</t>
  </si>
  <si>
    <t xml:space="preserve">Rice (kg)</t>
  </si>
  <si>
    <t xml:space="preserve">Grains</t>
  </si>
  <si>
    <t xml:space="preserve">GrainsMart</t>
  </si>
  <si>
    <t xml:space="preserve">PROD-008</t>
  </si>
  <si>
    <t xml:space="preserve">8901234567897</t>
  </si>
  <si>
    <t xml:space="preserve">Orange Juice (bottle)</t>
  </si>
  <si>
    <t xml:space="preserve">FreshDrinks</t>
  </si>
  <si>
    <t xml:space="preserve">PROD-009</t>
  </si>
  <si>
    <t xml:space="preserve">8901234567898</t>
  </si>
  <si>
    <t xml:space="preserve">PROD-010</t>
  </si>
  <si>
    <t xml:space="preserve">8901234567899</t>
  </si>
  <si>
    <t xml:space="preserve">Ice Cream (cup)</t>
  </si>
  <si>
    <t xml:space="preserve">CoolTreats</t>
  </si>
  <si>
    <t xml:space="preserve">PROD-011</t>
  </si>
  <si>
    <t xml:space="preserve">8901234567900</t>
  </si>
  <si>
    <t xml:space="preserve">Sugar (kg)</t>
  </si>
  <si>
    <t xml:space="preserve">Supplies</t>
  </si>
  <si>
    <t xml:space="preserve">PROD-012</t>
  </si>
  <si>
    <t xml:space="preserve">8901234567901</t>
  </si>
  <si>
    <t xml:space="preserve">Cooking Oil (liter)</t>
  </si>
  <si>
    <t xml:space="preserve">OilPro</t>
  </si>
  <si>
    <t xml:space="preserve">PROD-013</t>
  </si>
  <si>
    <t xml:space="preserve">8901234567902</t>
  </si>
  <si>
    <t xml:space="preserve">Disposable Cup (100pcs)</t>
  </si>
  <si>
    <t xml:space="preserve">PackagePro</t>
  </si>
  <si>
    <t xml:space="preserve">PROD-014</t>
  </si>
  <si>
    <t xml:space="preserve">8901234567903</t>
  </si>
  <si>
    <t xml:space="preserve">Napkins (pack)</t>
  </si>
  <si>
    <t xml:space="preserve">PROD-015</t>
  </si>
  <si>
    <t xml:space="preserve">8901234567904</t>
  </si>
  <si>
    <t xml:space="preserve">Bottled Soda (330ml)</t>
  </si>
  <si>
    <t xml:space="preserve">SodaDistrib</t>
  </si>
  <si>
    <t xml:space="preserve">TOTAL INVENTORY VALUE</t>
  </si>
  <si>
    <t xml:space="preserve">💸  EXPENSE TRACKING SHEET</t>
  </si>
  <si>
    <t xml:space="preserve">Expense Category</t>
  </si>
  <si>
    <t xml:space="preserve">Description</t>
  </si>
  <si>
    <t xml:space="preserve">Supplier/Vendor</t>
  </si>
  <si>
    <t xml:space="preserve">Approved By</t>
  </si>
  <si>
    <t xml:space="preserve">MONTHLY EXPENSE SUMMARY</t>
  </si>
  <si>
    <t xml:space="preserve">Rent</t>
  </si>
  <si>
    <t xml:space="preserve">Monthly Store Rent</t>
  </si>
  <si>
    <t xml:space="preserve">LandlordPH</t>
  </si>
  <si>
    <t xml:space="preserve">Owner</t>
  </si>
  <si>
    <t xml:space="preserve">Total</t>
  </si>
  <si>
    <t xml:space="preserve">Utilities</t>
  </si>
  <si>
    <t xml:space="preserve">Electricity Bill</t>
  </si>
  <si>
    <t xml:space="preserve">Meralco</t>
  </si>
  <si>
    <t xml:space="preserve">Bank Transfer</t>
  </si>
  <si>
    <t xml:space="preserve">Manager</t>
  </si>
  <si>
    <t xml:space="preserve">Internet</t>
  </si>
  <si>
    <t xml:space="preserve">Fiber Internet</t>
  </si>
  <si>
    <t xml:space="preserve">PLDT</t>
  </si>
  <si>
    <t xml:space="preserve">Auto-Debit</t>
  </si>
  <si>
    <t xml:space="preserve">Cleaning Supplies</t>
  </si>
  <si>
    <t xml:space="preserve">SM Supermarket</t>
  </si>
  <si>
    <t xml:space="preserve">Staff</t>
  </si>
  <si>
    <t xml:space="preserve">Marketing</t>
  </si>
  <si>
    <t xml:space="preserve">Social Media Ads</t>
  </si>
  <si>
    <t xml:space="preserve">Facebook</t>
  </si>
  <si>
    <t xml:space="preserve">Repairs</t>
  </si>
  <si>
    <t xml:space="preserve">HVAC Service</t>
  </si>
  <si>
    <t xml:space="preserve">CoolAir Tech</t>
  </si>
  <si>
    <t xml:space="preserve">Transportation</t>
  </si>
  <si>
    <t xml:space="preserve">Delivery Gas</t>
  </si>
  <si>
    <t xml:space="preserve">Petron</t>
  </si>
  <si>
    <t xml:space="preserve">Water Bill</t>
  </si>
  <si>
    <t xml:space="preserve">Maynilad</t>
  </si>
  <si>
    <t xml:space="preserve">Payroll</t>
  </si>
  <si>
    <t xml:space="preserve">Miscellaneous</t>
  </si>
  <si>
    <t xml:space="preserve">Valentine Promo Print</t>
  </si>
  <si>
    <t xml:space="preserve">PrintMaster</t>
  </si>
  <si>
    <t xml:space="preserve">Paper Bags &amp; Cups</t>
  </si>
  <si>
    <t xml:space="preserve">Office Supplies</t>
  </si>
  <si>
    <t xml:space="preserve">National Bookstore</t>
  </si>
  <si>
    <t xml:space="preserve">Refrigerator Repair</t>
  </si>
  <si>
    <t xml:space="preserve">ApplianceFix</t>
  </si>
  <si>
    <t xml:space="preserve">Sanitizing Products</t>
  </si>
  <si>
    <t xml:space="preserve">Mercury Drug</t>
  </si>
  <si>
    <t xml:space="preserve">Supplier Delivery</t>
  </si>
  <si>
    <t xml:space="preserve">Grab Express</t>
  </si>
  <si>
    <t xml:space="preserve">TOTAL EXPENSES</t>
  </si>
  <si>
    <t xml:space="preserve">Expense Distribution</t>
  </si>
  <si>
    <t xml:space="preserve">👥  PAYROLL &amp; SALARY CALCULATION</t>
  </si>
  <si>
    <t xml:space="preserve">Emp ID</t>
  </si>
  <si>
    <t xml:space="preserve">Employee Name</t>
  </si>
  <si>
    <t xml:space="preserve">Position</t>
  </si>
  <si>
    <t xml:space="preserve">Daily Rate</t>
  </si>
  <si>
    <t xml:space="preserve">Attendance Days</t>
  </si>
  <si>
    <t xml:space="preserve">Hours Worked</t>
  </si>
  <si>
    <t xml:space="preserve">OT Hours</t>
  </si>
  <si>
    <t xml:space="preserve">OT Pay</t>
  </si>
  <si>
    <t xml:space="preserve">Gross Salary</t>
  </si>
  <si>
    <t xml:space="preserve">SSS</t>
  </si>
  <si>
    <t xml:space="preserve">PhilHealth</t>
  </si>
  <si>
    <t xml:space="preserve">Pag-IBIG</t>
  </si>
  <si>
    <t xml:space="preserve">Late Penalty</t>
  </si>
  <si>
    <t xml:space="preserve">Net Salary</t>
  </si>
  <si>
    <t xml:space="preserve">EMP-001</t>
  </si>
  <si>
    <t xml:space="preserve">EMP-002</t>
  </si>
  <si>
    <t xml:space="preserve">EMP-003</t>
  </si>
  <si>
    <t xml:space="preserve">Supervisor</t>
  </si>
  <si>
    <t xml:space="preserve">EMP-004</t>
  </si>
  <si>
    <t xml:space="preserve">EMP-005</t>
  </si>
  <si>
    <t xml:space="preserve">Barista</t>
  </si>
  <si>
    <t xml:space="preserve">EMP-006</t>
  </si>
  <si>
    <t xml:space="preserve">Roberto Mendoza</t>
  </si>
  <si>
    <t xml:space="preserve">Cook</t>
  </si>
  <si>
    <t xml:space="preserve">EMP-007</t>
  </si>
  <si>
    <t xml:space="preserve">Grace Villanueva</t>
  </si>
  <si>
    <t xml:space="preserve">Waitress</t>
  </si>
  <si>
    <t xml:space="preserve">EMP-008</t>
  </si>
  <si>
    <t xml:space="preserve">Mark Aquino</t>
  </si>
  <si>
    <t xml:space="preserve">TOTAL PAYROLL</t>
  </si>
  <si>
    <t xml:space="preserve">🏆  EMPLOYEE PERFORMANCE TRACKER</t>
  </si>
  <si>
    <t xml:space="preserve">Total Sales</t>
  </si>
  <si>
    <t xml:space="preserve">Transactions</t>
  </si>
  <si>
    <t xml:space="preserve">Attendance %</t>
  </si>
  <si>
    <t xml:space="preserve">Customer Rating</t>
  </si>
  <si>
    <t xml:space="preserve">Performance Score</t>
  </si>
  <si>
    <t xml:space="preserve">Rank</t>
  </si>
  <si>
    <t xml:space="preserve">🚚  SUPPLIER &amp; PURCHASE RECORDS</t>
  </si>
  <si>
    <t xml:space="preserve">Purchase Date</t>
  </si>
  <si>
    <t xml:space="preserve">Supplier Name</t>
  </si>
  <si>
    <t xml:space="preserve">Product Purchased</t>
  </si>
  <si>
    <t xml:space="preserve">Quantity</t>
  </si>
  <si>
    <t xml:space="preserve">Unit Cost</t>
  </si>
  <si>
    <t xml:space="preserve">Delivery Status</t>
  </si>
  <si>
    <t xml:space="preserve">Payment Status</t>
  </si>
  <si>
    <t xml:space="preserve">Delivered</t>
  </si>
  <si>
    <t xml:space="preserve">Paid</t>
  </si>
  <si>
    <t xml:space="preserve">Croissant Dough (kg)</t>
  </si>
  <si>
    <t xml:space="preserve">Whole Chicken (kg)</t>
  </si>
  <si>
    <t xml:space="preserve">Mineral Water 500ml (case)</t>
  </si>
  <si>
    <t xml:space="preserve">Rice (50kg sack)</t>
  </si>
  <si>
    <t xml:space="preserve">Pending</t>
  </si>
  <si>
    <t xml:space="preserve">Cooking Oil 1L</t>
  </si>
  <si>
    <t xml:space="preserve">Disposable Cups 100pcs</t>
  </si>
  <si>
    <t xml:space="preserve">In Transit</t>
  </si>
  <si>
    <t xml:space="preserve">Orange Juice (case)</t>
  </si>
  <si>
    <t xml:space="preserve">Ice Cream Cups (box)</t>
  </si>
  <si>
    <t xml:space="preserve">Bottled Soda 330ml (case)</t>
  </si>
  <si>
    <t xml:space="preserve">Fried Chicken Pieces</t>
  </si>
  <si>
    <t xml:space="preserve">Ordered</t>
  </si>
  <si>
    <t xml:space="preserve">TOTAL PURCHASES</t>
  </si>
  <si>
    <t xml:space="preserve">OUTSTANDING (PENDING)</t>
  </si>
  <si>
    <t xml:space="preserve">💰  DAILY CASH FLOW REGISTER</t>
  </si>
  <si>
    <t xml:space="preserve">Opening Balance</t>
  </si>
  <si>
    <t xml:space="preserve">Cash In (Sales)</t>
  </si>
  <si>
    <t xml:space="preserve">Cash Out (Expenses)</t>
  </si>
  <si>
    <t xml:space="preserve">Bank Deposit</t>
  </si>
  <si>
    <t xml:space="preserve">Withdrawal</t>
  </si>
  <si>
    <t xml:space="preserve">Petty Cash</t>
  </si>
  <si>
    <t xml:space="preserve">Closing Balance</t>
  </si>
  <si>
    <t xml:space="preserve">MONTHLY TOTALS</t>
  </si>
  <si>
    <t xml:space="preserve">📋  TAX &amp; VAT REPORT</t>
  </si>
  <si>
    <t xml:space="preserve">Gross Sales</t>
  </si>
  <si>
    <t xml:space="preserve">VATable Sales</t>
  </si>
  <si>
    <t xml:space="preserve">VAT Collected (Output Tax)</t>
  </si>
  <si>
    <t xml:space="preserve">VAT on Purchases (Input Tax)</t>
  </si>
  <si>
    <t xml:space="preserve">VAT Payable</t>
  </si>
  <si>
    <t xml:space="preserve">VAT RATE</t>
  </si>
  <si>
    <t xml:space="preserve">12%</t>
  </si>
  <si>
    <t xml:space="preserve">ANNUAL TOTAL</t>
  </si>
  <si>
    <t xml:space="preserve">⚙  BUSINESS SETTINGS &amp; CONFIGURATION</t>
  </si>
  <si>
    <t xml:space="preserve">  BUSINESS INFORMATION</t>
  </si>
  <si>
    <t xml:space="preserve">Business Name</t>
  </si>
  <si>
    <t xml:space="preserve">My Retail Store</t>
  </si>
  <si>
    <t xml:space="preserve">← Edit this value</t>
  </si>
  <si>
    <t xml:space="preserve">Address</t>
  </si>
  <si>
    <t xml:space="preserve">123 Main Street, City</t>
  </si>
  <si>
    <t xml:space="preserve">Phone</t>
  </si>
  <si>
    <t xml:space="preserve">+1 800 000 0000</t>
  </si>
  <si>
    <t xml:space="preserve">Email</t>
  </si>
  <si>
    <t xml:space="preserve">info@mystore.com</t>
  </si>
  <si>
    <t xml:space="preserve">Tax / Business ID</t>
  </si>
  <si>
    <t xml:space="preserve">TIN-000-000-000</t>
  </si>
  <si>
    <t xml:space="preserve">Currency Symbol</t>
  </si>
  <si>
    <t xml:space="preserve">₱</t>
  </si>
  <si>
    <t xml:space="preserve">  FINANCIAL SETTINGS</t>
  </si>
  <si>
    <t xml:space="preserve">VAT Rate (%)</t>
  </si>
  <si>
    <t xml:space="preserve">Overtime Multiplier</t>
  </si>
  <si>
    <t xml:space="preserve">Late Penalty/Minute</t>
  </si>
  <si>
    <t xml:space="preserve">SSS Deduction</t>
  </si>
  <si>
    <t xml:space="preserve">PhilHealth Deduction</t>
  </si>
  <si>
    <t xml:space="preserve">Pag-IBIG Deduction</t>
  </si>
  <si>
    <t xml:space="preserve">  REPORT SETTINGS</t>
  </si>
  <si>
    <t xml:space="preserve">Report Start Date</t>
  </si>
  <si>
    <t xml:space="preserve">Report End Date</t>
  </si>
  <si>
    <t xml:space="preserve">Fiscal Year</t>
  </si>
  <si>
    <t xml:space="preserve">Low Stock Threshold</t>
  </si>
  <si>
    <t xml:space="preserve">Expiry Warning Days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</si>
</sst>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0.0%"/>
    <numFmt numFmtId="168" formatCode="0.0"/>
    <numFmt numFmtId="169" formatCode="mmm\ dd&quot;, &quot;yyyy"/>
    <numFmt numFmtId="170" formatCode="0.0\%"/>
    <numFmt numFmtId="171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i val="true"/>
      <sz val="8"/>
      <color rgb="FFAAAAA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b val="true"/>
      <sz val="11"/>
      <color rgb="FFE74C3C"/>
      <name val="Calibri"/>
      <family val="0"/>
      <charset val="1"/>
    </font>
    <font>
      <b val="true"/>
      <sz val="16"/>
      <color rgb="FF1E844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A5276"/>
      <name val="Calibri"/>
      <family val="0"/>
      <charset val="1"/>
    </font>
    <font>
      <i val="true"/>
      <sz val="9"/>
      <color rgb="FF7F8C8D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1E8449"/>
        <bgColor rgb="FF117A65"/>
      </patternFill>
    </fill>
    <fill>
      <patternFill patternType="solid">
        <fgColor rgb="FF922B21"/>
        <bgColor rgb="FF7B241C"/>
      </patternFill>
    </fill>
    <fill>
      <patternFill patternType="solid">
        <fgColor rgb="FF7D6608"/>
        <bgColor rgb="FF856404"/>
      </patternFill>
    </fill>
    <fill>
      <patternFill patternType="solid">
        <fgColor rgb="FF4A235A"/>
        <bgColor rgb="FF2C3E50"/>
      </patternFill>
    </fill>
    <fill>
      <patternFill patternType="solid">
        <fgColor rgb="FF117A65"/>
        <bgColor rgb="FF1E8449"/>
      </patternFill>
    </fill>
    <fill>
      <patternFill patternType="solid">
        <fgColor rgb="FF2980B9"/>
        <bgColor rgb="FF2E86C1"/>
      </patternFill>
    </fill>
    <fill>
      <patternFill patternType="solid">
        <fgColor rgb="FFE74C3C"/>
        <bgColor rgb="FFAB4744"/>
      </patternFill>
    </fill>
    <fill>
      <patternFill patternType="solid">
        <fgColor rgb="FFF39C12"/>
        <bgColor rgb="FFE67E22"/>
      </patternFill>
    </fill>
    <fill>
      <patternFill patternType="solid">
        <fgColor rgb="FF8E44AD"/>
        <bgColor rgb="FF725990"/>
      </patternFill>
    </fill>
    <fill>
      <patternFill patternType="solid">
        <fgColor rgb="FF0B5345"/>
        <bgColor rgb="FF154360"/>
      </patternFill>
    </fill>
    <fill>
      <patternFill patternType="solid">
        <fgColor rgb="FF154360"/>
        <bgColor rgb="FF1A5276"/>
      </patternFill>
    </fill>
    <fill>
      <patternFill patternType="solid">
        <fgColor rgb="FF7B241C"/>
        <bgColor rgb="FF922B21"/>
      </patternFill>
    </fill>
    <fill>
      <patternFill patternType="solid">
        <fgColor rgb="FF784212"/>
        <bgColor rgb="FF922B21"/>
      </patternFill>
    </fill>
    <fill>
      <patternFill patternType="solid">
        <fgColor rgb="FF1B2631"/>
        <bgColor rgb="FF2C3E50"/>
      </patternFill>
    </fill>
    <fill>
      <patternFill patternType="solid">
        <fgColor rgb="FF1ABC9C"/>
        <bgColor rgb="FF27AE60"/>
      </patternFill>
    </fill>
    <fill>
      <patternFill patternType="solid">
        <fgColor rgb="FF2E86C1"/>
        <bgColor rgb="FF2980B9"/>
      </patternFill>
    </fill>
    <fill>
      <patternFill patternType="solid">
        <fgColor rgb="FFE67E22"/>
        <bgColor rgb="FFDC853E"/>
      </patternFill>
    </fill>
    <fill>
      <patternFill patternType="solid">
        <fgColor rgb="FF566573"/>
        <bgColor rgb="FF725990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F9E79F"/>
        <bgColor rgb="FFFADBD8"/>
      </patternFill>
    </fill>
    <fill>
      <patternFill patternType="solid">
        <fgColor rgb="FF2C3E50"/>
        <bgColor rgb="FF154360"/>
      </patternFill>
    </fill>
    <fill>
      <patternFill patternType="solid">
        <fgColor rgb="FF27AE60"/>
        <bgColor rgb="FF1ABC9C"/>
      </patternFill>
    </fill>
    <fill>
      <patternFill patternType="solid">
        <fgColor rgb="FFFADBD8"/>
        <bgColor rgb="FFD9D9D9"/>
      </patternFill>
    </fill>
    <fill>
      <patternFill patternType="solid">
        <fgColor rgb="FFD6EAF8"/>
        <bgColor rgb="FFD5F5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2BABB"/>
      </left>
      <right/>
      <top style="medium">
        <color rgb="FFB2BABB"/>
      </top>
      <bottom style="medium">
        <color rgb="FFB2BABB"/>
      </bottom>
      <diagonal/>
    </border>
    <border diagonalUp="false" diagonalDown="false">
      <left style="medium">
        <color rgb="FFB2BABB"/>
      </left>
      <right style="medium">
        <color rgb="FFB2BABB"/>
      </right>
      <top style="medium">
        <color rgb="FFB2BABB"/>
      </top>
      <bottom style="medium">
        <color rgb="FFB2BABB"/>
      </bottom>
      <diagonal/>
    </border>
    <border diagonalUp="false" diagonalDown="false"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  <border diagonalUp="false" diagonalDown="false">
      <left style="medium">
        <color rgb="FFB2BABB"/>
      </left>
      <right style="thin">
        <color rgb="FFB2BABB"/>
      </right>
      <top style="medium">
        <color rgb="FFB2BABB"/>
      </top>
      <bottom style="medium">
        <color rgb="FFB2BA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1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2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26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6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7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2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2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2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E74C3C"/>
        <sz val="10"/>
      </font>
      <fill>
        <patternFill>
          <bgColor rgb="FFFADBD8"/>
        </patternFill>
      </fill>
    </dxf>
    <dxf>
      <font>
        <name val="Calibri"/>
        <charset val="1"/>
        <family val="0"/>
        <b val="1"/>
        <color rgb="FF1E8449"/>
        <sz val="10"/>
      </font>
      <fill>
        <patternFill>
          <bgColor rgb="FFD5F5E3"/>
        </patternFill>
      </fill>
    </dxf>
    <dxf>
      <font>
        <name val="Calibri"/>
        <charset val="1"/>
        <family val="0"/>
        <b val="1"/>
        <color rgb="FF856404"/>
        <sz val="10"/>
      </font>
      <fill>
        <patternFill>
          <bgColor rgb="FFF9E79F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27AE60"/>
        </patternFill>
      </fill>
    </dxf>
  </dxfs>
  <colors>
    <indexedColors>
      <rgbColor rgb="FF000000"/>
      <rgbColor rgb="FFFFFFFF"/>
      <rgbColor rgb="FFE74C3C"/>
      <rgbColor rgb="FF00FF00"/>
      <rgbColor rgb="FF0000FF"/>
      <rgbColor rgb="FFFFFF00"/>
      <rgbColor rgb="FFFF00FF"/>
      <rgbColor rgb="FF2E86C1"/>
      <rgbColor rgb="FF7B241C"/>
      <rgbColor rgb="FF1A5276"/>
      <rgbColor rgb="FF000080"/>
      <rgbColor rgb="FF7D6608"/>
      <rgbColor rgb="FF856404"/>
      <rgbColor rgb="FF117A65"/>
      <rgbColor rgb="FFB2BABB"/>
      <rgbColor rgb="FF878787"/>
      <rgbColor rgb="FF93A9CE"/>
      <rgbColor rgb="FFAB4744"/>
      <rgbColor rgb="FFF9F9F9"/>
      <rgbColor rgb="FFD6EAF8"/>
      <rgbColor rgb="FF566573"/>
      <rgbColor rgb="FFDC853E"/>
      <rgbColor rgb="FF2980B9"/>
      <rgbColor rgb="FFD9D9D9"/>
      <rgbColor rgb="FF000080"/>
      <rgbColor rgb="FFFF00FF"/>
      <rgbColor rgb="FFFFFF00"/>
      <rgbColor rgb="FF00FFFF"/>
      <rgbColor rgb="FF4F81BD"/>
      <rgbColor rgb="FF784212"/>
      <rgbColor rgb="FF1E8449"/>
      <rgbColor rgb="FF0000FF"/>
      <rgbColor rgb="FF4299B0"/>
      <rgbColor rgb="FFCCFFFF"/>
      <rgbColor rgb="FFD5F5E3"/>
      <rgbColor rgb="FFF9E79F"/>
      <rgbColor rgb="FFB8CD97"/>
      <rgbColor rgb="FFD09493"/>
      <rgbColor rgb="FFAAAAAA"/>
      <rgbColor rgb="FFFADBD8"/>
      <rgbColor rgb="FF4672A8"/>
      <rgbColor rgb="FF1ABC9C"/>
      <rgbColor rgb="FF8AA64F"/>
      <rgbColor rgb="FFFFCC00"/>
      <rgbColor rgb="FFF39C12"/>
      <rgbColor rgb="FFE67E22"/>
      <rgbColor rgb="FF725990"/>
      <rgbColor rgb="FF7F8C8D"/>
      <rgbColor rgb="FF154360"/>
      <rgbColor rgb="FF27AE60"/>
      <rgbColor rgb="FF0B5345"/>
      <rgbColor rgb="FF1B2631"/>
      <rgbColor rgb="FF922B21"/>
      <rgbColor rgb="FF8E44AD"/>
      <rgbColor rgb="FF4A235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'🏠 Dashboard'!C23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7ae60"/>
            </a:solidFill>
            <a:ln w="2484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Dashboard'!$A$24:$A$35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'🏠 Dashboard'!$C$24:$C$35</c:f>
              <c:numCache>
                <c:formatCode>#,##0.00</c:formatCode>
                <c:ptCount val="12"/>
                <c:pt idx="0">
                  <c:v>4610.06</c:v>
                </c:pt>
                <c:pt idx="1">
                  <c:v>3866.912</c:v>
                </c:pt>
                <c:pt idx="2">
                  <c:v>4495.764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'🏠 Dashboard'!G23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980b9"/>
            </a:solidFill>
            <a:ln w="47520">
              <a:solidFill>
                <a:srgbClr val="2980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Dashboard'!$A$24:$A$35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'🏠 Dashboard'!$G$24:$G$35</c:f>
              <c:numCache>
                <c:formatCode>#,##0.00</c:formatCode>
                <c:ptCount val="12"/>
                <c:pt idx="0">
                  <c:v>-38775.575</c:v>
                </c:pt>
                <c:pt idx="1">
                  <c:v>-34372.5</c:v>
                </c:pt>
                <c:pt idx="2">
                  <c:v>-34674.425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651474"/>
        <c:axId val="71754350"/>
      </c:lineChart>
      <c:catAx>
        <c:axId val="99651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4350"/>
        <c:crosses val="autoZero"/>
        <c:auto val="1"/>
        <c:lblAlgn val="ctr"/>
        <c:lblOffset val="100"/>
        <c:noMultiLvlLbl val="0"/>
      </c:catAx>
      <c:valAx>
        <c:axId val="71754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51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'🏠 Dashboard'!K15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Dashboard'!$I$16:$I$22</c:f>
              <c:strCache>
                <c:ptCount val="7"/>
                <c:pt idx="0">
                  <c:v>Espresso Coffee</c:v>
                </c:pt>
                <c:pt idx="1">
                  <c:v>Latte</c:v>
                </c:pt>
                <c:pt idx="2">
                  <c:v>Croissant</c:v>
                </c:pt>
                <c:pt idx="3">
                  <c:v>Chocolate Cake</c:v>
                </c:pt>
                <c:pt idx="4">
                  <c:v>Mineral Water</c:v>
                </c:pt>
                <c:pt idx="5">
                  <c:v>Fried Chicken</c:v>
                </c:pt>
                <c:pt idx="6">
                  <c:v/>
                </c:pt>
              </c:strCache>
            </c:strRef>
          </c:cat>
          <c:val>
            <c:numRef>
              <c:f>'🏠 Dashboard'!$K$16:$K$22</c:f>
              <c:numCache>
                <c:formatCode>#,##0.00</c:formatCode>
                <c:ptCount val="7"/>
                <c:pt idx="0">
                  <c:v>861.224</c:v>
                </c:pt>
                <c:pt idx="1">
                  <c:v>1402.128</c:v>
                </c:pt>
                <c:pt idx="2">
                  <c:v>789.32</c:v>
                </c:pt>
                <c:pt idx="3">
                  <c:v>1528.52</c:v>
                </c:pt>
                <c:pt idx="4">
                  <c:v>533.568</c:v>
                </c:pt>
                <c:pt idx="5">
                  <c:v>2416.652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49234675"/>
        <c:axId val="26810097"/>
      </c:barChart>
      <c:catAx>
        <c:axId val="49234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10097"/>
        <c:crosses val="autoZero"/>
        <c:auto val="1"/>
        <c:lblAlgn val="ctr"/>
        <c:lblOffset val="100"/>
        <c:noMultiLvlLbl val="0"/>
      </c:catAx>
      <c:valAx>
        <c:axId val="26810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34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'💸 Expenses'!$I$31:$I$39</c:f>
              <c:strCache>
                <c:ptCount val="9"/>
                <c:pt idx="0">
                  <c:v>Utilities</c:v>
                </c:pt>
                <c:pt idx="1">
                  <c:v>Rent</c:v>
                </c:pt>
                <c:pt idx="2">
                  <c:v>Internet</c:v>
                </c:pt>
                <c:pt idx="3">
                  <c:v>Supplies</c:v>
                </c:pt>
                <c:pt idx="4">
                  <c:v>Repairs</c:v>
                </c:pt>
                <c:pt idx="5">
                  <c:v>Marketing</c:v>
                </c:pt>
                <c:pt idx="6">
                  <c:v>Transportation</c:v>
                </c:pt>
                <c:pt idx="7">
                  <c:v>Payroll</c:v>
                </c:pt>
                <c:pt idx="8">
                  <c:v>Miscellaneous</c:v>
                </c:pt>
              </c:strCache>
            </c:strRef>
          </c:cat>
          <c:val>
            <c:numRef>
              <c:f>'💸 Expenses'!$J$31:$J$39</c:f>
              <c:numCache>
                <c:formatCode>General</c:formatCode>
                <c:ptCount val="9"/>
                <c:pt idx="0">
                  <c:v>15150</c:v>
                </c:pt>
                <c:pt idx="1">
                  <c:v>75000</c:v>
                </c:pt>
                <c:pt idx="2">
                  <c:v>5997</c:v>
                </c:pt>
                <c:pt idx="3">
                  <c:v>3100</c:v>
                </c:pt>
                <c:pt idx="4">
                  <c:v>6300</c:v>
                </c:pt>
                <c:pt idx="5">
                  <c:v>5500</c:v>
                </c:pt>
                <c:pt idx="6">
                  <c:v>2000</c:v>
                </c:pt>
                <c:pt idx="7">
                  <c:v>0</c:v>
                </c:pt>
                <c:pt idx="8">
                  <c:v>450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Employee Sales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'🏆 Performance'!B4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a527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Performance'!$A$5:$A$12</c:f>
              <c:strCache>
                <c:ptCount val="8"/>
                <c:pt idx="0">
                  <c:v>Maria Santos</c:v>
                </c:pt>
                <c:pt idx="1">
                  <c:v>Juan Dela Cruz</c:v>
                </c:pt>
                <c:pt idx="2">
                  <c:v>Ana Reyes</c:v>
                </c:pt>
                <c:pt idx="3">
                  <c:v>Carlo Bautista</c:v>
                </c:pt>
                <c:pt idx="4">
                  <c:v>Lisa Tan</c:v>
                </c:pt>
                <c:pt idx="5">
                  <c:v>Roberto Mendoza</c:v>
                </c:pt>
                <c:pt idx="6">
                  <c:v>Grace Villanueva</c:v>
                </c:pt>
                <c:pt idx="7">
                  <c:v>Mark Aquino</c:v>
                </c:pt>
              </c:strCache>
            </c:strRef>
          </c:cat>
          <c:val>
            <c:numRef>
              <c:f>'🏆 Performance'!$B$5:$B$12</c:f>
              <c:numCache>
                <c:formatCode>#,##0.00</c:formatCode>
                <c:ptCount val="8"/>
                <c:pt idx="0">
                  <c:v>2647.876</c:v>
                </c:pt>
                <c:pt idx="1">
                  <c:v>2721.768</c:v>
                </c:pt>
                <c:pt idx="2">
                  <c:v>2649.668</c:v>
                </c:pt>
                <c:pt idx="3">
                  <c:v>2451.792</c:v>
                </c:pt>
                <c:pt idx="4">
                  <c:v>2501.632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37039817"/>
        <c:axId val="15512191"/>
      </c:barChart>
      <c:catAx>
        <c:axId val="370398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12191"/>
        <c:crosses val="autoZero"/>
        <c:auto val="1"/>
        <c:lblAlgn val="ctr"/>
        <c:lblOffset val="100"/>
        <c:noMultiLvlLbl val="0"/>
      </c:catAx>
      <c:valAx>
        <c:axId val="15512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39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Cash Flow (January)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'💰 Cash Flow'!H4</c:f>
              <c:strCache>
                <c:ptCount val="1"/>
                <c:pt idx="0">
                  <c:v>Closing Balance</c:v>
                </c:pt>
              </c:strCache>
            </c:strRef>
          </c:tx>
          <c:spPr>
            <a:solidFill>
              <a:srgbClr val="1e8449"/>
            </a:solidFill>
            <a:ln w="4752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'💰 Cash Flow'!$H$5:$H$34</c:f>
              <c:numCache>
                <c:formatCode>#,##0.00</c:formatCode>
                <c:ptCount val="30"/>
                <c:pt idx="0">
                  <c:v>55387</c:v>
                </c:pt>
                <c:pt idx="1">
                  <c:v>58256</c:v>
                </c:pt>
                <c:pt idx="2">
                  <c:v>63462</c:v>
                </c:pt>
                <c:pt idx="3">
                  <c:v>71876</c:v>
                </c:pt>
                <c:pt idx="4">
                  <c:v>75648</c:v>
                </c:pt>
                <c:pt idx="5">
                  <c:v>86238</c:v>
                </c:pt>
                <c:pt idx="6">
                  <c:v>81003</c:v>
                </c:pt>
                <c:pt idx="7">
                  <c:v>82535</c:v>
                </c:pt>
                <c:pt idx="8">
                  <c:v>98848</c:v>
                </c:pt>
                <c:pt idx="9">
                  <c:v>105914</c:v>
                </c:pt>
                <c:pt idx="10">
                  <c:v>121294</c:v>
                </c:pt>
                <c:pt idx="11">
                  <c:v>129467</c:v>
                </c:pt>
                <c:pt idx="12">
                  <c:v>137275</c:v>
                </c:pt>
                <c:pt idx="13">
                  <c:v>139545</c:v>
                </c:pt>
                <c:pt idx="14">
                  <c:v>153979</c:v>
                </c:pt>
                <c:pt idx="15">
                  <c:v>160827</c:v>
                </c:pt>
                <c:pt idx="16">
                  <c:v>175845</c:v>
                </c:pt>
                <c:pt idx="17">
                  <c:v>183321</c:v>
                </c:pt>
                <c:pt idx="18">
                  <c:v>183296</c:v>
                </c:pt>
                <c:pt idx="19">
                  <c:v>192765</c:v>
                </c:pt>
                <c:pt idx="20">
                  <c:v>203844</c:v>
                </c:pt>
                <c:pt idx="21">
                  <c:v>208350</c:v>
                </c:pt>
                <c:pt idx="22">
                  <c:v>215297</c:v>
                </c:pt>
                <c:pt idx="23">
                  <c:v>226434</c:v>
                </c:pt>
                <c:pt idx="24">
                  <c:v>232395</c:v>
                </c:pt>
                <c:pt idx="25">
                  <c:v>233011</c:v>
                </c:pt>
                <c:pt idx="26">
                  <c:v>244926</c:v>
                </c:pt>
                <c:pt idx="27">
                  <c:v>250023</c:v>
                </c:pt>
                <c:pt idx="28">
                  <c:v>260126</c:v>
                </c:pt>
                <c:pt idx="29">
                  <c:v>264751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301539"/>
        <c:axId val="1652229"/>
      </c:lineChart>
      <c:catAx>
        <c:axId val="74301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2229"/>
        <c:crosses val="autoZero"/>
        <c:auto val="1"/>
        <c:lblAlgn val="ctr"/>
        <c:lblOffset val="100"/>
        <c:noMultiLvlLbl val="0"/>
      </c:catAx>
      <c:valAx>
        <c:axId val="1652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0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97200</xdr:rowOff>
    </xdr:from>
    <xdr:to>
      <xdr:col>7</xdr:col>
      <xdr:colOff>558720</xdr:colOff>
      <xdr:row>56</xdr:row>
      <xdr:rowOff>77040</xdr:rowOff>
    </xdr:to>
    <xdr:graphicFrame>
      <xdr:nvGraphicFramePr>
        <xdr:cNvPr id="0" name="Chart 1"/>
        <xdr:cNvGraphicFramePr/>
      </xdr:nvGraphicFramePr>
      <xdr:xfrm>
        <a:off x="0" y="79437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37</xdr:row>
      <xdr:rowOff>97200</xdr:rowOff>
    </xdr:from>
    <xdr:to>
      <xdr:col>16</xdr:col>
      <xdr:colOff>684720</xdr:colOff>
      <xdr:row>56</xdr:row>
      <xdr:rowOff>77040</xdr:rowOff>
    </xdr:to>
    <xdr:graphicFrame>
      <xdr:nvGraphicFramePr>
        <xdr:cNvPr id="1" name="Chart 2"/>
        <xdr:cNvGraphicFramePr/>
      </xdr:nvGraphicFramePr>
      <xdr:xfrm>
        <a:off x="8458200" y="794376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38</xdr:row>
      <xdr:rowOff>78120</xdr:rowOff>
    </xdr:from>
    <xdr:to>
      <xdr:col>15</xdr:col>
      <xdr:colOff>494280</xdr:colOff>
      <xdr:row>61</xdr:row>
      <xdr:rowOff>16560</xdr:rowOff>
    </xdr:to>
    <xdr:graphicFrame>
      <xdr:nvGraphicFramePr>
        <xdr:cNvPr id="2" name="Chart 1"/>
        <xdr:cNvGraphicFramePr/>
      </xdr:nvGraphicFramePr>
      <xdr:xfrm>
        <a:off x="8599320" y="85536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19</xdr:col>
      <xdr:colOff>364680</xdr:colOff>
      <xdr:row>25</xdr:row>
      <xdr:rowOff>14400</xdr:rowOff>
    </xdr:to>
    <xdr:graphicFrame>
      <xdr:nvGraphicFramePr>
        <xdr:cNvPr id="3" name="Chart 1"/>
        <xdr:cNvGraphicFramePr/>
      </xdr:nvGraphicFramePr>
      <xdr:xfrm>
        <a:off x="8717400" y="1123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21</xdr:col>
      <xdr:colOff>581400</xdr:colOff>
      <xdr:row>22</xdr:row>
      <xdr:rowOff>204840</xdr:rowOff>
    </xdr:to>
    <xdr:graphicFrame>
      <xdr:nvGraphicFramePr>
        <xdr:cNvPr id="4" name="Chart 1"/>
        <xdr:cNvGraphicFramePr/>
      </xdr:nvGraphicFramePr>
      <xdr:xfrm>
        <a:off x="8858160" y="11239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true"/>
  </sheetPr>
  <dimension ref="A1:T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6" hidden="false" customHeight="true" outlineLevel="0" collapsed="false"/>
    <row r="6" customFormat="false" ht="15.75" hidden="false" customHeight="true" outlineLevel="0" collapsed="false">
      <c r="A6" s="3" t="s">
        <v>2</v>
      </c>
      <c r="B6" s="3"/>
      <c r="C6" s="3"/>
      <c r="E6" s="3" t="s">
        <v>3</v>
      </c>
      <c r="F6" s="3"/>
      <c r="G6" s="3"/>
      <c r="I6" s="4" t="s">
        <v>4</v>
      </c>
      <c r="J6" s="4"/>
      <c r="K6" s="4"/>
      <c r="M6" s="5" t="s">
        <v>5</v>
      </c>
      <c r="N6" s="5"/>
      <c r="O6" s="5"/>
      <c r="Q6" s="6" t="s">
        <v>6</v>
      </c>
      <c r="R6" s="6"/>
      <c r="S6" s="6"/>
    </row>
    <row r="7" customFormat="false" ht="21.75" hidden="false" customHeight="true" outlineLevel="0" collapsed="false">
      <c r="A7" s="7" t="n">
        <f aca="false">SUM('📊 Sales Report'!I$5:I$957)</f>
        <v>12972.736</v>
      </c>
      <c r="B7" s="7"/>
      <c r="C7" s="7"/>
      <c r="E7" s="8" t="n">
        <f aca="false">SUM('📊 Sales Report'!N$5:N$957)</f>
        <v>5674.5</v>
      </c>
      <c r="F7" s="8"/>
      <c r="G7" s="8"/>
      <c r="I7" s="9" t="n">
        <f aca="false">SUM('💸 Expenses'!F$5:F$24)</f>
        <v>113497</v>
      </c>
      <c r="J7" s="9"/>
      <c r="K7" s="9"/>
      <c r="M7" s="10" t="n">
        <f aca="false">COUNTA('📊 Sales Report'!B$5:B$957)</f>
        <v>953</v>
      </c>
      <c r="N7" s="10"/>
      <c r="O7" s="10"/>
      <c r="Q7" s="11" t="n">
        <f aca="false">SUM('👥 Payroll'!I$5:I$12)</f>
        <v>127546.88</v>
      </c>
      <c r="R7" s="11"/>
      <c r="S7" s="11"/>
    </row>
    <row r="8" customFormat="false" ht="21.75" hidden="false" customHeight="true" outlineLevel="0" collapsed="false">
      <c r="A8" s="7"/>
      <c r="B8" s="7"/>
      <c r="C8" s="7"/>
      <c r="E8" s="8"/>
      <c r="F8" s="8"/>
      <c r="G8" s="8"/>
      <c r="I8" s="9"/>
      <c r="J8" s="9"/>
      <c r="K8" s="9"/>
      <c r="M8" s="10"/>
      <c r="N8" s="10"/>
      <c r="O8" s="10"/>
      <c r="Q8" s="11"/>
      <c r="R8" s="11"/>
      <c r="S8" s="11"/>
    </row>
    <row r="9" customFormat="false" ht="6" hidden="false" customHeight="true" outlineLevel="0" collapsed="false"/>
    <row r="10" customFormat="false" ht="15.75" hidden="false" customHeight="true" outlineLevel="0" collapsed="false">
      <c r="A10" s="12" t="s">
        <v>7</v>
      </c>
      <c r="B10" s="12"/>
      <c r="C10" s="12"/>
      <c r="E10" s="13" t="s">
        <v>8</v>
      </c>
      <c r="F10" s="13"/>
      <c r="G10" s="13"/>
      <c r="I10" s="14" t="s">
        <v>9</v>
      </c>
      <c r="J10" s="14"/>
      <c r="K10" s="14"/>
      <c r="M10" s="15" t="s">
        <v>10</v>
      </c>
      <c r="N10" s="15"/>
      <c r="O10" s="15"/>
      <c r="Q10" s="16" t="s">
        <v>11</v>
      </c>
      <c r="R10" s="16"/>
      <c r="S10" s="16"/>
    </row>
    <row r="11" customFormat="false" ht="21.75" hidden="false" customHeight="true" outlineLevel="0" collapsed="false">
      <c r="A11" s="17" t="n">
        <f aca="false">SUM('📦 Inventory'!K$5:K$19)</f>
        <v>89765</v>
      </c>
      <c r="B11" s="17"/>
      <c r="C11" s="17"/>
      <c r="E11" s="18" t="n">
        <f aca="false">IFERROR(SUM('📊 Sales Report'!I$5:I$957)/COUNTA('📊 Sales Report'!B$5:B$957),0)</f>
        <v>13.6125246589717</v>
      </c>
      <c r="F11" s="18"/>
      <c r="G11" s="18"/>
      <c r="I11" s="9" t="n">
        <f aca="false">SUMIF('🚚 Suppliers'!H$5:H$19,"Pending",'🚚 Suppliers'!F$5:F$19)</f>
        <v>26660</v>
      </c>
      <c r="J11" s="9"/>
      <c r="K11" s="9"/>
      <c r="M11" s="19" t="n">
        <f aca="false">COUNTIF('📦 Inventory'!J$5:J$19,"LOW STOCK")</f>
        <v>3</v>
      </c>
      <c r="N11" s="19"/>
      <c r="O11" s="19"/>
      <c r="Q11" s="20" t="n">
        <f aca="false">SUM('📋 Tax &amp; VAT'!F5:F16)</f>
        <v>-10770.4568571429</v>
      </c>
      <c r="R11" s="20"/>
      <c r="S11" s="20"/>
    </row>
    <row r="12" customFormat="false" ht="21.75" hidden="false" customHeight="true" outlineLevel="0" collapsed="false">
      <c r="A12" s="17"/>
      <c r="B12" s="17"/>
      <c r="C12" s="17"/>
      <c r="E12" s="18"/>
      <c r="F12" s="18"/>
      <c r="G12" s="18"/>
      <c r="I12" s="9"/>
      <c r="J12" s="9"/>
      <c r="K12" s="9"/>
      <c r="M12" s="19"/>
      <c r="N12" s="19"/>
      <c r="O12" s="19"/>
      <c r="Q12" s="20"/>
      <c r="R12" s="20"/>
      <c r="S12" s="20"/>
    </row>
    <row r="13" customFormat="false" ht="6" hidden="false" customHeight="true" outlineLevel="0" collapsed="false"/>
    <row r="14" customFormat="false" ht="19.5" hidden="false" customHeight="true" outlineLevel="0" collapsed="false">
      <c r="A14" s="21" t="s">
        <v>12</v>
      </c>
      <c r="B14" s="21"/>
      <c r="C14" s="21"/>
      <c r="D14" s="21"/>
      <c r="E14" s="21"/>
      <c r="F14" s="21"/>
      <c r="G14" s="21"/>
      <c r="I14" s="21" t="s">
        <v>13</v>
      </c>
      <c r="J14" s="21"/>
      <c r="K14" s="21"/>
      <c r="L14" s="21"/>
      <c r="M14" s="21"/>
      <c r="N14" s="21"/>
      <c r="O14" s="21"/>
      <c r="Q14" s="22" t="s">
        <v>14</v>
      </c>
      <c r="R14" s="22"/>
      <c r="S14" s="22"/>
      <c r="T14" s="22"/>
    </row>
    <row r="15" customFormat="false" ht="22.35" hidden="false" customHeight="false" outlineLevel="0" collapsed="false">
      <c r="A15" s="23" t="s">
        <v>15</v>
      </c>
      <c r="B15" s="23" t="s">
        <v>16</v>
      </c>
      <c r="C15" s="23" t="s">
        <v>17</v>
      </c>
      <c r="I15" s="23" t="s">
        <v>18</v>
      </c>
      <c r="J15" s="23" t="s">
        <v>19</v>
      </c>
      <c r="K15" s="23" t="s">
        <v>20</v>
      </c>
      <c r="Q15" s="23" t="s">
        <v>18</v>
      </c>
      <c r="R15" s="23" t="s">
        <v>21</v>
      </c>
      <c r="S15" s="23" t="s">
        <v>22</v>
      </c>
      <c r="T15" s="23" t="s">
        <v>23</v>
      </c>
    </row>
    <row r="16" customFormat="false" ht="18" hidden="false" customHeight="true" outlineLevel="0" collapsed="false">
      <c r="A16" s="24" t="s">
        <v>24</v>
      </c>
      <c r="B16" s="25" t="n">
        <f aca="false">SUMIF('📊 Sales Report'!$J$5:$J$957,A16,'📊 Sales Report'!$I$5:$I$957)</f>
        <v>2489.452</v>
      </c>
      <c r="C16" s="26" t="n">
        <f aca="false">IFERROR(B16/SUM($B$16:$B$20),0)</f>
        <v>0.191898763684083</v>
      </c>
      <c r="I16" s="24" t="s">
        <v>25</v>
      </c>
      <c r="J16" s="27" t="n">
        <f aca="false">SUMIF('📊 Sales Report'!$C$5:$C$957,I16,'📊 Sales Report'!$E$5:$E$957)</f>
        <v>226</v>
      </c>
      <c r="K16" s="25" t="n">
        <f aca="false">SUMIF('📊 Sales Report'!$C$5:$C$957,I16,'📊 Sales Report'!$I$5:$I$957)</f>
        <v>861.224</v>
      </c>
    </row>
    <row r="17" customFormat="false" ht="18" hidden="false" customHeight="true" outlineLevel="0" collapsed="false">
      <c r="A17" s="28" t="s">
        <v>26</v>
      </c>
      <c r="B17" s="29" t="n">
        <f aca="false">SUMIF('📊 Sales Report'!$J$5:$J$957,A17,'📊 Sales Report'!$I$5:$I$957)</f>
        <v>2500.4</v>
      </c>
      <c r="C17" s="30" t="n">
        <f aca="false">IFERROR(B17/SUM($B$16:$B$20),0)</f>
        <v>0.19274268743309</v>
      </c>
      <c r="I17" s="28" t="s">
        <v>27</v>
      </c>
      <c r="J17" s="31" t="n">
        <f aca="false">SUMIF('📊 Sales Report'!$C$5:$C$957,I17,'📊 Sales Report'!$E$5:$E$957)</f>
        <v>288</v>
      </c>
      <c r="K17" s="29" t="n">
        <f aca="false">SUMIF('📊 Sales Report'!$C$5:$C$957,I17,'📊 Sales Report'!$I$5:$I$957)</f>
        <v>1402.128</v>
      </c>
    </row>
    <row r="18" customFormat="false" ht="18" hidden="false" customHeight="true" outlineLevel="0" collapsed="false">
      <c r="A18" s="24" t="s">
        <v>28</v>
      </c>
      <c r="B18" s="25" t="n">
        <f aca="false">SUMIF('📊 Sales Report'!$J$5:$J$957,A18,'📊 Sales Report'!$I$5:$I$957)</f>
        <v>2724.148</v>
      </c>
      <c r="C18" s="26" t="n">
        <f aca="false">IFERROR(B18/SUM($B$16:$B$20),0)</f>
        <v>0.209990244155127</v>
      </c>
      <c r="I18" s="24" t="s">
        <v>29</v>
      </c>
      <c r="J18" s="27" t="n">
        <f aca="false">SUMIF('📊 Sales Report'!$C$5:$C$957,I18,'📊 Sales Report'!$E$5:$E$957)</f>
        <v>291</v>
      </c>
      <c r="K18" s="25" t="n">
        <f aca="false">SUMIF('📊 Sales Report'!$C$5:$C$957,I18,'📊 Sales Report'!$I$5:$I$957)</f>
        <v>789.32</v>
      </c>
      <c r="Q18" s="32" t="s">
        <v>30</v>
      </c>
      <c r="R18" s="32" t="n">
        <v>8</v>
      </c>
      <c r="S18" s="32" t="n">
        <v>15</v>
      </c>
      <c r="T18" s="32" t="s">
        <v>31</v>
      </c>
    </row>
    <row r="19" customFormat="false" ht="18" hidden="false" customHeight="true" outlineLevel="0" collapsed="false">
      <c r="A19" s="28" t="s">
        <v>32</v>
      </c>
      <c r="B19" s="29" t="n">
        <f aca="false">SUMIF('📊 Sales Report'!$J$5:$J$957,A19,'📊 Sales Report'!$I$5:$I$957)</f>
        <v>2860.872</v>
      </c>
      <c r="C19" s="30" t="n">
        <f aca="false">IFERROR(B19/SUM($B$16:$B$20),0)</f>
        <v>0.220529578340298</v>
      </c>
      <c r="I19" s="28" t="s">
        <v>33</v>
      </c>
      <c r="J19" s="31" t="n">
        <f aca="false">SUMIF('📊 Sales Report'!$C$5:$C$957,I19,'📊 Sales Report'!$E$5:$E$957)</f>
        <v>282</v>
      </c>
      <c r="K19" s="29" t="n">
        <f aca="false">SUMIF('📊 Sales Report'!$C$5:$C$957,I19,'📊 Sales Report'!$I$5:$I$957)</f>
        <v>1528.52</v>
      </c>
    </row>
    <row r="20" customFormat="false" ht="18" hidden="false" customHeight="true" outlineLevel="0" collapsed="false">
      <c r="A20" s="24" t="s">
        <v>34</v>
      </c>
      <c r="B20" s="25" t="n">
        <f aca="false">SUMIF('📊 Sales Report'!$J$5:$J$957,A20,'📊 Sales Report'!$I$5:$I$957)</f>
        <v>2397.864</v>
      </c>
      <c r="C20" s="26" t="n">
        <f aca="false">IFERROR(B20/SUM($B$16:$B$20),0)</f>
        <v>0.184838726387402</v>
      </c>
      <c r="I20" s="24" t="s">
        <v>35</v>
      </c>
      <c r="J20" s="27" t="n">
        <f aca="false">SUMIF('📊 Sales Report'!$C$5:$C$957,I20,'📊 Sales Report'!$E$5:$E$957)</f>
        <v>327</v>
      </c>
      <c r="K20" s="25" t="n">
        <f aca="false">SUMIF('📊 Sales Report'!$C$5:$C$957,I20,'📊 Sales Report'!$I$5:$I$957)</f>
        <v>533.568</v>
      </c>
    </row>
    <row r="21" customFormat="false" ht="6" hidden="false" customHeight="true" outlineLevel="0" collapsed="false">
      <c r="I21" s="28" t="s">
        <v>36</v>
      </c>
      <c r="J21" s="31" t="n">
        <f aca="false">SUMIF('📊 Sales Report'!$C$5:$C$957,I21,'📊 Sales Report'!$E$5:$E$957)</f>
        <v>260</v>
      </c>
      <c r="K21" s="29" t="n">
        <f aca="false">SUMIF('📊 Sales Report'!$C$5:$C$957,I21,'📊 Sales Report'!$I$5:$I$957)</f>
        <v>2416.652</v>
      </c>
    </row>
    <row r="22" customFormat="false" ht="19.5" hidden="false" customHeight="true" outlineLevel="0" collapsed="false">
      <c r="A22" s="33" t="s">
        <v>37</v>
      </c>
      <c r="B22" s="33"/>
      <c r="C22" s="33"/>
      <c r="D22" s="33"/>
      <c r="E22" s="33"/>
      <c r="F22" s="33"/>
      <c r="G22" s="33"/>
      <c r="H22" s="33"/>
      <c r="I22" s="33"/>
      <c r="J22" s="33"/>
      <c r="K22" s="25" t="n">
        <f aca="false">SUMIF('📊 Sales Report'!$C$5:$C$957,I22,'📊 Sales Report'!$I$5:$I$957)</f>
        <v>0</v>
      </c>
      <c r="L22" s="21" t="s">
        <v>38</v>
      </c>
      <c r="M22" s="21"/>
      <c r="N22" s="21"/>
      <c r="O22" s="21"/>
      <c r="P22" s="21"/>
      <c r="Q22" s="21"/>
      <c r="R22" s="21"/>
      <c r="S22" s="21"/>
      <c r="T22" s="21"/>
    </row>
    <row r="23" customFormat="false" ht="27.75" hidden="false" customHeight="true" outlineLevel="0" collapsed="false">
      <c r="A23" s="23" t="s">
        <v>39</v>
      </c>
      <c r="B23" s="23" t="s">
        <v>40</v>
      </c>
      <c r="C23" s="23" t="s">
        <v>20</v>
      </c>
      <c r="D23" s="23" t="s">
        <v>41</v>
      </c>
      <c r="E23" s="23" t="s">
        <v>42</v>
      </c>
      <c r="F23" s="23" t="s">
        <v>43</v>
      </c>
      <c r="G23" s="23" t="s">
        <v>44</v>
      </c>
      <c r="H23" s="23" t="s">
        <v>45</v>
      </c>
      <c r="L23" s="23" t="s">
        <v>46</v>
      </c>
      <c r="M23" s="23" t="s">
        <v>47</v>
      </c>
      <c r="N23" s="23" t="s">
        <v>48</v>
      </c>
      <c r="O23" s="23" t="s">
        <v>49</v>
      </c>
      <c r="P23" s="23" t="s">
        <v>50</v>
      </c>
    </row>
    <row r="24" customFormat="false" ht="16.5" hidden="false" customHeight="true" outlineLevel="0" collapsed="false">
      <c r="A24" s="24" t="s">
        <v>51</v>
      </c>
      <c r="B24" s="24" t="n">
        <f aca="false">SUMPRODUCT((TEXT('📊 Sales Report'!$A$5:$A$957,"MMMM")=A24)*1)</f>
        <v>334</v>
      </c>
      <c r="C24" s="25" t="n">
        <f aca="false">SUMPRODUCT((TEXT('📊 Sales Report'!$A$5:$A$957,"MMMM")=A24)*'📊 Sales Report'!$I$5:$I$957)</f>
        <v>4610.06</v>
      </c>
      <c r="D24" s="25" t="n">
        <f aca="false">C24-SUMPRODUCT((TEXT('📊 Sales Report'!$A$5:$A$957,"MMMM")=A24)*'📊 Sales Report'!$N$5:$N$957)</f>
        <v>2586.635</v>
      </c>
      <c r="E24" s="25" t="n">
        <f aca="false">SUMPRODUCT((TEXT('📊 Sales Report'!$A$5:$A$957,"MMMM")=A24)*'📊 Sales Report'!$N$5:$N$957)</f>
        <v>2023.425</v>
      </c>
      <c r="F24" s="25" t="n">
        <f aca="false">SUMPRODUCT((TEXT('💸 Expenses'!$A$5:$A$24,"MMMM")=A24)*'💸 Expenses'!$F$5:$F$24)</f>
        <v>40799</v>
      </c>
      <c r="G24" s="25" t="n">
        <f aca="false">E24-F24</f>
        <v>-38775.575</v>
      </c>
      <c r="H24" s="26" t="n">
        <f aca="false">IFERROR(G24/C24,0)</f>
        <v>-8.41107816384168</v>
      </c>
      <c r="L24" s="34" t="str">
        <f aca="false">INDEX('🏆 Performance'!A$5:A$12,MATCH(LARGE('🏆 Performance'!G$5:G$12,1),'🏆 Performance'!G$5:G$12,0))</f>
        <v>Juan Dela Cruz</v>
      </c>
      <c r="M24" s="35" t="n">
        <f aca="false">INDEX('🏆 Performance'!B$5:B$12,MATCH(LARGE('🏆 Performance'!G$5:G$12,1),'🏆 Performance'!G$5:G$12,0))</f>
        <v>2721.768</v>
      </c>
      <c r="N24" s="34" t="n">
        <f aca="false">INDEX('🏆 Performance'!C$5:C$12,MATCH(LARGE('🏆 Performance'!G$5:G$12,1),'🏆 Performance'!G$5:G$12,0))</f>
        <v>205</v>
      </c>
      <c r="O24" s="35" t="n">
        <f aca="false">INDEX('🏆 Performance'!D$5:D$12,MATCH(LARGE('🏆 Performance'!G$5:G$12,1),'🏆 Performance'!G$5:G$12,0))</f>
        <v>13.2769170731707</v>
      </c>
      <c r="P24" s="36" t="n">
        <f aca="false">LARGE('🏆 Performance'!G$5:G$12,1)</f>
        <v>95.2</v>
      </c>
      <c r="Q24" s="32" t="s">
        <v>52</v>
      </c>
      <c r="R24" s="32" t="n">
        <v>12</v>
      </c>
      <c r="S24" s="32" t="n">
        <v>20</v>
      </c>
      <c r="T24" s="32" t="s">
        <v>31</v>
      </c>
    </row>
    <row r="25" customFormat="false" ht="16.5" hidden="false" customHeight="true" outlineLevel="0" collapsed="false">
      <c r="A25" s="28" t="s">
        <v>53</v>
      </c>
      <c r="B25" s="28" t="n">
        <f aca="false">SUMPRODUCT((TEXT('📊 Sales Report'!$A$5:$A$957,"MMMM")=A25)*1)</f>
        <v>288</v>
      </c>
      <c r="C25" s="29" t="n">
        <f aca="false">SUMPRODUCT((TEXT('📊 Sales Report'!$A$5:$A$957,"MMMM")=A25)*'📊 Sales Report'!$I$5:$I$957)</f>
        <v>3866.912</v>
      </c>
      <c r="D25" s="29" t="n">
        <f aca="false">C25-SUMPRODUCT((TEXT('📊 Sales Report'!$A$5:$A$957,"MMMM")=A25)*'📊 Sales Report'!$N$5:$N$957)</f>
        <v>2190.412</v>
      </c>
      <c r="E25" s="29" t="n">
        <f aca="false">SUMPRODUCT((TEXT('📊 Sales Report'!$A$5:$A$957,"MMMM")=A25)*'📊 Sales Report'!$N$5:$N$957)</f>
        <v>1676.5</v>
      </c>
      <c r="F25" s="29" t="n">
        <f aca="false">SUMPRODUCT((TEXT('💸 Expenses'!$A$5:$A$24,"MMMM")=A25)*'💸 Expenses'!$F$5:$F$24)</f>
        <v>36049</v>
      </c>
      <c r="G25" s="29" t="n">
        <f aca="false">E25-F25</f>
        <v>-34372.5</v>
      </c>
      <c r="H25" s="30" t="n">
        <f aca="false">IFERROR(G25/C25,0)</f>
        <v>-8.88887567133672</v>
      </c>
      <c r="L25" s="28" t="str">
        <f aca="false">INDEX('🏆 Performance'!A$5:A$12,MATCH(LARGE('🏆 Performance'!G$5:G$12,2),'🏆 Performance'!G$5:G$12,0))</f>
        <v>Lisa Tan</v>
      </c>
      <c r="M25" s="29" t="n">
        <f aca="false">INDEX('🏆 Performance'!B$5:B$12,MATCH(LARGE('🏆 Performance'!G$5:G$12,2),'🏆 Performance'!G$5:G$12,0))</f>
        <v>2501.632</v>
      </c>
      <c r="N25" s="28" t="n">
        <f aca="false">INDEX('🏆 Performance'!C$5:C$12,MATCH(LARGE('🏆 Performance'!G$5:G$12,2),'🏆 Performance'!G$5:G$12,0))</f>
        <v>188</v>
      </c>
      <c r="O25" s="29" t="n">
        <f aca="false">INDEX('🏆 Performance'!D$5:D$12,MATCH(LARGE('🏆 Performance'!G$5:G$12,2),'🏆 Performance'!G$5:G$12,0))</f>
        <v>13.3065531914894</v>
      </c>
      <c r="P25" s="37" t="n">
        <f aca="false">LARGE('🏆 Performance'!G$5:G$12,2)</f>
        <v>93.7</v>
      </c>
    </row>
    <row r="26" customFormat="false" ht="16.5" hidden="false" customHeight="true" outlineLevel="0" collapsed="false">
      <c r="A26" s="24" t="s">
        <v>54</v>
      </c>
      <c r="B26" s="24" t="n">
        <f aca="false">SUMPRODUCT((TEXT('📊 Sales Report'!$A$5:$A$957,"MMMM")=A26)*1)</f>
        <v>331</v>
      </c>
      <c r="C26" s="25" t="n">
        <f aca="false">SUMPRODUCT((TEXT('📊 Sales Report'!$A$5:$A$957,"MMMM")=A26)*'📊 Sales Report'!$I$5:$I$957)</f>
        <v>4495.764</v>
      </c>
      <c r="D26" s="25" t="n">
        <f aca="false">C26-SUMPRODUCT((TEXT('📊 Sales Report'!$A$5:$A$957,"MMMM")=A26)*'📊 Sales Report'!$N$5:$N$957)</f>
        <v>2521.189</v>
      </c>
      <c r="E26" s="25" t="n">
        <f aca="false">SUMPRODUCT((TEXT('📊 Sales Report'!$A$5:$A$957,"MMMM")=A26)*'📊 Sales Report'!$N$5:$N$957)</f>
        <v>1974.575</v>
      </c>
      <c r="F26" s="25" t="n">
        <f aca="false">SUMPRODUCT((TEXT('💸 Expenses'!$A$5:$A$24,"MMMM")=A26)*'💸 Expenses'!$F$5:$F$24)</f>
        <v>36649</v>
      </c>
      <c r="G26" s="25" t="n">
        <f aca="false">E26-F26</f>
        <v>-34674.425</v>
      </c>
      <c r="H26" s="26" t="n">
        <f aca="false">IFERROR(G26/C26,0)</f>
        <v>-7.71268798807055</v>
      </c>
      <c r="L26" s="24" t="str">
        <f aca="false">INDEX('🏆 Performance'!A$5:A$12,MATCH(LARGE('🏆 Performance'!G$5:G$12,3),'🏆 Performance'!G$5:G$12,0))</f>
        <v>Ana Reyes</v>
      </c>
      <c r="M26" s="25" t="n">
        <f aca="false">INDEX('🏆 Performance'!B$5:B$12,MATCH(LARGE('🏆 Performance'!G$5:G$12,3),'🏆 Performance'!G$5:G$12,0))</f>
        <v>2649.668</v>
      </c>
      <c r="N26" s="24" t="n">
        <f aca="false">INDEX('🏆 Performance'!C$5:C$12,MATCH(LARGE('🏆 Performance'!G$5:G$12,3),'🏆 Performance'!G$5:G$12,0))</f>
        <v>191</v>
      </c>
      <c r="O26" s="25" t="n">
        <f aca="false">INDEX('🏆 Performance'!D$5:D$12,MATCH(LARGE('🏆 Performance'!G$5:G$12,3),'🏆 Performance'!G$5:G$12,0))</f>
        <v>13.8726073298429</v>
      </c>
      <c r="P26" s="38" t="n">
        <f aca="false">LARGE('🏆 Performance'!G$5:G$12,3)</f>
        <v>92.7</v>
      </c>
    </row>
    <row r="27" customFormat="false" ht="16.5" hidden="false" customHeight="true" outlineLevel="0" collapsed="false">
      <c r="A27" s="28" t="s">
        <v>55</v>
      </c>
      <c r="B27" s="28" t="n">
        <f aca="false">SUMPRODUCT((TEXT('📊 Sales Report'!$A$5:$A$957,"MMMM")=A27)*1)</f>
        <v>0</v>
      </c>
      <c r="C27" s="29" t="n">
        <f aca="false">SUMPRODUCT((TEXT('📊 Sales Report'!$A$5:$A$957,"MMMM")=A27)*'📊 Sales Report'!$I$5:$I$957)</f>
        <v>0</v>
      </c>
      <c r="D27" s="29" t="n">
        <f aca="false">C27-SUMPRODUCT((TEXT('📊 Sales Report'!$A$5:$A$957,"MMMM")=A27)*'📊 Sales Report'!$N$5:$N$957)</f>
        <v>0</v>
      </c>
      <c r="E27" s="29" t="n">
        <f aca="false">SUMPRODUCT((TEXT('📊 Sales Report'!$A$5:$A$957,"MMMM")=A27)*'📊 Sales Report'!$N$5:$N$957)</f>
        <v>0</v>
      </c>
      <c r="F27" s="29" t="n">
        <f aca="false">SUMPRODUCT((TEXT('💸 Expenses'!$A$5:$A$24,"MMMM")=A27)*'💸 Expenses'!$F$5:$F$24)</f>
        <v>0</v>
      </c>
      <c r="G27" s="29" t="n">
        <f aca="false">E27-F27</f>
        <v>0</v>
      </c>
      <c r="H27" s="30" t="n">
        <f aca="false">IFERROR(G27/C27,0)</f>
        <v>0</v>
      </c>
      <c r="L27" s="28" t="str">
        <f aca="false">INDEX('🏆 Performance'!A$5:A$12,MATCH(LARGE('🏆 Performance'!G$5:G$12,4),'🏆 Performance'!G$5:G$12,0))</f>
        <v>Carlo Bautista</v>
      </c>
      <c r="M27" s="29" t="n">
        <f aca="false">INDEX('🏆 Performance'!B$5:B$12,MATCH(LARGE('🏆 Performance'!G$5:G$12,4),'🏆 Performance'!G$5:G$12,0))</f>
        <v>2451.792</v>
      </c>
      <c r="N27" s="28" t="n">
        <f aca="false">INDEX('🏆 Performance'!C$5:C$12,MATCH(LARGE('🏆 Performance'!G$5:G$12,4),'🏆 Performance'!G$5:G$12,0))</f>
        <v>186</v>
      </c>
      <c r="O27" s="29" t="n">
        <f aca="false">INDEX('🏆 Performance'!D$5:D$12,MATCH(LARGE('🏆 Performance'!G$5:G$12,4),'🏆 Performance'!G$5:G$12,0))</f>
        <v>13.1816774193548</v>
      </c>
      <c r="P27" s="37" t="n">
        <f aca="false">LARGE('🏆 Performance'!G$5:G$12,4)</f>
        <v>91.5</v>
      </c>
    </row>
    <row r="28" customFormat="false" ht="16.5" hidden="false" customHeight="true" outlineLevel="0" collapsed="false">
      <c r="A28" s="24" t="s">
        <v>56</v>
      </c>
      <c r="B28" s="24" t="n">
        <f aca="false">SUMPRODUCT((TEXT('📊 Sales Report'!$A$5:$A$957,"MMMM")=A28)*1)</f>
        <v>0</v>
      </c>
      <c r="C28" s="25" t="n">
        <f aca="false">SUMPRODUCT((TEXT('📊 Sales Report'!$A$5:$A$957,"MMMM")=A28)*'📊 Sales Report'!$I$5:$I$957)</f>
        <v>0</v>
      </c>
      <c r="D28" s="25" t="n">
        <f aca="false">C28-SUMPRODUCT((TEXT('📊 Sales Report'!$A$5:$A$957,"MMMM")=A28)*'📊 Sales Report'!$N$5:$N$957)</f>
        <v>0</v>
      </c>
      <c r="E28" s="25" t="n">
        <f aca="false">SUMPRODUCT((TEXT('📊 Sales Report'!$A$5:$A$957,"MMMM")=A28)*'📊 Sales Report'!$N$5:$N$957)</f>
        <v>0</v>
      </c>
      <c r="F28" s="25" t="n">
        <f aca="false">SUMPRODUCT((TEXT('💸 Expenses'!$A$5:$A$24,"MMMM")=A28)*'💸 Expenses'!$F$5:$F$24)</f>
        <v>0</v>
      </c>
      <c r="G28" s="25" t="n">
        <f aca="false">E28-F28</f>
        <v>0</v>
      </c>
      <c r="H28" s="26" t="n">
        <f aca="false">IFERROR(G28/C28,0)</f>
        <v>0</v>
      </c>
      <c r="L28" s="24" t="str">
        <f aca="false">INDEX('🏆 Performance'!A$5:A$12,MATCH(LARGE('🏆 Performance'!G$5:G$12,5),'🏆 Performance'!G$5:G$12,0))</f>
        <v>Maria Santos</v>
      </c>
      <c r="M28" s="25" t="n">
        <f aca="false">INDEX('🏆 Performance'!B$5:B$12,MATCH(LARGE('🏆 Performance'!G$5:G$12,5),'🏆 Performance'!G$5:G$12,0))</f>
        <v>2647.876</v>
      </c>
      <c r="N28" s="24" t="n">
        <f aca="false">INDEX('🏆 Performance'!C$5:C$12,MATCH(LARGE('🏆 Performance'!G$5:G$12,5),'🏆 Performance'!G$5:G$12,0))</f>
        <v>183</v>
      </c>
      <c r="O28" s="25" t="n">
        <f aca="false">INDEX('🏆 Performance'!D$5:D$12,MATCH(LARGE('🏆 Performance'!G$5:G$12,5),'🏆 Performance'!G$5:G$12,0))</f>
        <v>14.4692677595628</v>
      </c>
      <c r="P28" s="38" t="n">
        <f aca="false">LARGE('🏆 Performance'!G$5:G$12,5)</f>
        <v>90.9</v>
      </c>
      <c r="Q28" s="32" t="s">
        <v>57</v>
      </c>
      <c r="R28" s="32" t="n">
        <v>7</v>
      </c>
      <c r="S28" s="32" t="n">
        <v>20</v>
      </c>
      <c r="T28" s="32" t="s">
        <v>31</v>
      </c>
    </row>
    <row r="29" customFormat="false" ht="16.5" hidden="false" customHeight="true" outlineLevel="0" collapsed="false">
      <c r="A29" s="28" t="s">
        <v>58</v>
      </c>
      <c r="B29" s="28" t="n">
        <f aca="false">SUMPRODUCT((TEXT('📊 Sales Report'!$A$5:$A$957,"MMMM")=A29)*1)</f>
        <v>0</v>
      </c>
      <c r="C29" s="29" t="n">
        <f aca="false">SUMPRODUCT((TEXT('📊 Sales Report'!$A$5:$A$957,"MMMM")=A29)*'📊 Sales Report'!$I$5:$I$957)</f>
        <v>0</v>
      </c>
      <c r="D29" s="29" t="n">
        <f aca="false">C29-SUMPRODUCT((TEXT('📊 Sales Report'!$A$5:$A$957,"MMMM")=A29)*'📊 Sales Report'!$N$5:$N$957)</f>
        <v>0</v>
      </c>
      <c r="E29" s="29" t="n">
        <f aca="false">SUMPRODUCT((TEXT('📊 Sales Report'!$A$5:$A$957,"MMMM")=A29)*'📊 Sales Report'!$N$5:$N$957)</f>
        <v>0</v>
      </c>
      <c r="F29" s="29" t="n">
        <f aca="false">SUMPRODUCT((TEXT('💸 Expenses'!$A$5:$A$24,"MMMM")=A29)*'💸 Expenses'!$F$5:$F$24)</f>
        <v>0</v>
      </c>
      <c r="G29" s="29" t="n">
        <f aca="false">E29-F29</f>
        <v>0</v>
      </c>
      <c r="H29" s="30" t="n">
        <f aca="false">IFERROR(G29/C29,0)</f>
        <v>0</v>
      </c>
      <c r="L29" s="28" t="str">
        <f aca="false">INDEX('🏆 Performance'!A$5:A$12,MATCH(LARGE('🏆 Performance'!G$5:G$12,6),'🏆 Performance'!G$5:G$12,0))</f>
        <v>Roberto Mendoza</v>
      </c>
      <c r="M29" s="29" t="n">
        <f aca="false">INDEX('🏆 Performance'!B$5:B$12,MATCH(LARGE('🏆 Performance'!G$5:G$12,6),'🏆 Performance'!G$5:G$12,0))</f>
        <v>0</v>
      </c>
      <c r="N29" s="28" t="n">
        <f aca="false">INDEX('🏆 Performance'!C$5:C$12,MATCH(LARGE('🏆 Performance'!G$5:G$12,6),'🏆 Performance'!G$5:G$12,0))</f>
        <v>0</v>
      </c>
      <c r="O29" s="29" t="n">
        <f aca="false">INDEX('🏆 Performance'!D$5:D$12,MATCH(LARGE('🏆 Performance'!G$5:G$12,6),'🏆 Performance'!G$5:G$12,0))</f>
        <v>0</v>
      </c>
      <c r="P29" s="37" t="n">
        <f aca="false">LARGE('🏆 Performance'!G$5:G$12,6)</f>
        <v>26.4</v>
      </c>
    </row>
    <row r="30" customFormat="false" ht="16.5" hidden="false" customHeight="true" outlineLevel="0" collapsed="false">
      <c r="A30" s="24" t="s">
        <v>59</v>
      </c>
      <c r="B30" s="24" t="n">
        <f aca="false">SUMPRODUCT((TEXT('📊 Sales Report'!$A$5:$A$957,"MMMM")=A30)*1)</f>
        <v>0</v>
      </c>
      <c r="C30" s="25" t="n">
        <f aca="false">SUMPRODUCT((TEXT('📊 Sales Report'!$A$5:$A$957,"MMMM")=A30)*'📊 Sales Report'!$I$5:$I$957)</f>
        <v>0</v>
      </c>
      <c r="D30" s="25" t="n">
        <f aca="false">C30-SUMPRODUCT((TEXT('📊 Sales Report'!$A$5:$A$957,"MMMM")=A30)*'📊 Sales Report'!$N$5:$N$957)</f>
        <v>0</v>
      </c>
      <c r="E30" s="25" t="n">
        <f aca="false">SUMPRODUCT((TEXT('📊 Sales Report'!$A$5:$A$957,"MMMM")=A30)*'📊 Sales Report'!$N$5:$N$957)</f>
        <v>0</v>
      </c>
      <c r="F30" s="25" t="n">
        <f aca="false">SUMPRODUCT((TEXT('💸 Expenses'!$A$5:$A$24,"MMMM")=A30)*'💸 Expenses'!$F$5:$F$24)</f>
        <v>0</v>
      </c>
      <c r="G30" s="25" t="n">
        <f aca="false">E30-F30</f>
        <v>0</v>
      </c>
      <c r="H30" s="26" t="n">
        <f aca="false">IFERROR(G30/C30,0)</f>
        <v>0</v>
      </c>
      <c r="L30" s="24" t="str">
        <f aca="false">INDEX('🏆 Performance'!A$5:A$12,MATCH(LARGE('🏆 Performance'!G$5:G$12,7),'🏆 Performance'!G$5:G$12,0))</f>
        <v>Roberto Mendoza</v>
      </c>
      <c r="M30" s="25" t="n">
        <f aca="false">INDEX('🏆 Performance'!B$5:B$12,MATCH(LARGE('🏆 Performance'!G$5:G$12,7),'🏆 Performance'!G$5:G$12,0))</f>
        <v>0</v>
      </c>
      <c r="N30" s="24" t="n">
        <f aca="false">INDEX('🏆 Performance'!C$5:C$12,MATCH(LARGE('🏆 Performance'!G$5:G$12,7),'🏆 Performance'!G$5:G$12,0))</f>
        <v>0</v>
      </c>
      <c r="O30" s="25" t="n">
        <f aca="false">INDEX('🏆 Performance'!D$5:D$12,MATCH(LARGE('🏆 Performance'!G$5:G$12,7),'🏆 Performance'!G$5:G$12,0))</f>
        <v>0</v>
      </c>
      <c r="P30" s="38" t="n">
        <f aca="false">LARGE('🏆 Performance'!G$5:G$12,7)</f>
        <v>26.4</v>
      </c>
    </row>
    <row r="31" customFormat="false" ht="16.5" hidden="false" customHeight="true" outlineLevel="0" collapsed="false">
      <c r="A31" s="28" t="s">
        <v>60</v>
      </c>
      <c r="B31" s="28" t="n">
        <f aca="false">SUMPRODUCT((TEXT('📊 Sales Report'!$A$5:$A$957,"MMMM")=A31)*1)</f>
        <v>0</v>
      </c>
      <c r="C31" s="29" t="n">
        <f aca="false">SUMPRODUCT((TEXT('📊 Sales Report'!$A$5:$A$957,"MMMM")=A31)*'📊 Sales Report'!$I$5:$I$957)</f>
        <v>0</v>
      </c>
      <c r="D31" s="29" t="n">
        <f aca="false">C31-SUMPRODUCT((TEXT('📊 Sales Report'!$A$5:$A$957,"MMMM")=A31)*'📊 Sales Report'!$N$5:$N$957)</f>
        <v>0</v>
      </c>
      <c r="E31" s="29" t="n">
        <f aca="false">SUMPRODUCT((TEXT('📊 Sales Report'!$A$5:$A$957,"MMMM")=A31)*'📊 Sales Report'!$N$5:$N$957)</f>
        <v>0</v>
      </c>
      <c r="F31" s="29" t="n">
        <f aca="false">SUMPRODUCT((TEXT('💸 Expenses'!$A$5:$A$24,"MMMM")=A31)*'💸 Expenses'!$F$5:$F$24)</f>
        <v>0</v>
      </c>
      <c r="G31" s="29" t="n">
        <f aca="false">E31-F31</f>
        <v>0</v>
      </c>
      <c r="H31" s="30" t="n">
        <f aca="false">IFERROR(G31/C31,0)</f>
        <v>0</v>
      </c>
      <c r="L31" s="28" t="str">
        <f aca="false">INDEX('🏆 Performance'!A$5:A$12,MATCH(LARGE('🏆 Performance'!G$5:G$12,8),'🏆 Performance'!G$5:G$12,0))</f>
        <v>Grace Villanueva</v>
      </c>
      <c r="M31" s="29" t="n">
        <f aca="false">INDEX('🏆 Performance'!B$5:B$12,MATCH(LARGE('🏆 Performance'!G$5:G$12,8),'🏆 Performance'!G$5:G$12,0))</f>
        <v>0</v>
      </c>
      <c r="N31" s="28" t="n">
        <f aca="false">INDEX('🏆 Performance'!C$5:C$12,MATCH(LARGE('🏆 Performance'!G$5:G$12,8),'🏆 Performance'!G$5:G$12,0))</f>
        <v>0</v>
      </c>
      <c r="O31" s="29" t="n">
        <f aca="false">INDEX('🏆 Performance'!D$5:D$12,MATCH(LARGE('🏆 Performance'!G$5:G$12,8),'🏆 Performance'!G$5:G$12,0))</f>
        <v>0</v>
      </c>
      <c r="P31" s="37" t="n">
        <f aca="false">LARGE('🏆 Performance'!G$5:G$12,8)</f>
        <v>25.2</v>
      </c>
    </row>
    <row r="32" customFormat="false" ht="16.5" hidden="false" customHeight="true" outlineLevel="0" collapsed="false">
      <c r="A32" s="24" t="s">
        <v>61</v>
      </c>
      <c r="B32" s="24" t="n">
        <f aca="false">SUMPRODUCT((TEXT('📊 Sales Report'!$A$5:$A$957,"MMMM")=A32)*1)</f>
        <v>0</v>
      </c>
      <c r="C32" s="25" t="n">
        <f aca="false">SUMPRODUCT((TEXT('📊 Sales Report'!$A$5:$A$957,"MMMM")=A32)*'📊 Sales Report'!$I$5:$I$957)</f>
        <v>0</v>
      </c>
      <c r="D32" s="25" t="n">
        <f aca="false">C32-SUMPRODUCT((TEXT('📊 Sales Report'!$A$5:$A$957,"MMMM")=A32)*'📊 Sales Report'!$N$5:$N$957)</f>
        <v>0</v>
      </c>
      <c r="E32" s="25" t="n">
        <f aca="false">SUMPRODUCT((TEXT('📊 Sales Report'!$A$5:$A$957,"MMMM")=A32)*'📊 Sales Report'!$N$5:$N$957)</f>
        <v>0</v>
      </c>
      <c r="F32" s="25" t="n">
        <f aca="false">SUMPRODUCT((TEXT('💸 Expenses'!$A$5:$A$24,"MMMM")=A32)*'💸 Expenses'!$F$5:$F$24)</f>
        <v>0</v>
      </c>
      <c r="G32" s="25" t="n">
        <f aca="false">E32-F32</f>
        <v>0</v>
      </c>
      <c r="H32" s="26" t="n">
        <f aca="false">IFERROR(G32/C32,0)</f>
        <v>0</v>
      </c>
    </row>
    <row r="33" customFormat="false" ht="16.5" hidden="false" customHeight="true" outlineLevel="0" collapsed="false">
      <c r="A33" s="28" t="s">
        <v>62</v>
      </c>
      <c r="B33" s="28" t="n">
        <f aca="false">SUMPRODUCT((TEXT('📊 Sales Report'!$A$5:$A$957,"MMMM")=A33)*1)</f>
        <v>0</v>
      </c>
      <c r="C33" s="29" t="n">
        <f aca="false">SUMPRODUCT((TEXT('📊 Sales Report'!$A$5:$A$957,"MMMM")=A33)*'📊 Sales Report'!$I$5:$I$957)</f>
        <v>0</v>
      </c>
      <c r="D33" s="29" t="n">
        <f aca="false">C33-SUMPRODUCT((TEXT('📊 Sales Report'!$A$5:$A$957,"MMMM")=A33)*'📊 Sales Report'!$N$5:$N$957)</f>
        <v>0</v>
      </c>
      <c r="E33" s="29" t="n">
        <f aca="false">SUMPRODUCT((TEXT('📊 Sales Report'!$A$5:$A$957,"MMMM")=A33)*'📊 Sales Report'!$N$5:$N$957)</f>
        <v>0</v>
      </c>
      <c r="F33" s="29" t="n">
        <f aca="false">SUMPRODUCT((TEXT('💸 Expenses'!$A$5:$A$24,"MMMM")=A33)*'💸 Expenses'!$F$5:$F$24)</f>
        <v>0</v>
      </c>
      <c r="G33" s="29" t="n">
        <f aca="false">E33-F33</f>
        <v>0</v>
      </c>
      <c r="H33" s="30" t="n">
        <f aca="false">IFERROR(G33/C33,0)</f>
        <v>0</v>
      </c>
    </row>
    <row r="34" customFormat="false" ht="16.5" hidden="false" customHeight="true" outlineLevel="0" collapsed="false">
      <c r="A34" s="24" t="s">
        <v>63</v>
      </c>
      <c r="B34" s="24" t="n">
        <f aca="false">SUMPRODUCT((TEXT('📊 Sales Report'!$A$5:$A$957,"MMMM")=A34)*1)</f>
        <v>0</v>
      </c>
      <c r="C34" s="25" t="n">
        <f aca="false">SUMPRODUCT((TEXT('📊 Sales Report'!$A$5:$A$957,"MMMM")=A34)*'📊 Sales Report'!$I$5:$I$957)</f>
        <v>0</v>
      </c>
      <c r="D34" s="25" t="n">
        <f aca="false">C34-SUMPRODUCT((TEXT('📊 Sales Report'!$A$5:$A$957,"MMMM")=A34)*'📊 Sales Report'!$N$5:$N$957)</f>
        <v>0</v>
      </c>
      <c r="E34" s="25" t="n">
        <f aca="false">SUMPRODUCT((TEXT('📊 Sales Report'!$A$5:$A$957,"MMMM")=A34)*'📊 Sales Report'!$N$5:$N$957)</f>
        <v>0</v>
      </c>
      <c r="F34" s="25" t="n">
        <f aca="false">SUMPRODUCT((TEXT('💸 Expenses'!$A$5:$A$24,"MMMM")=A34)*'💸 Expenses'!$F$5:$F$24)</f>
        <v>0</v>
      </c>
      <c r="G34" s="25" t="n">
        <f aca="false">E34-F34</f>
        <v>0</v>
      </c>
      <c r="H34" s="26" t="n">
        <f aca="false">IFERROR(G34/C34,0)</f>
        <v>0</v>
      </c>
    </row>
    <row r="35" customFormat="false" ht="16.5" hidden="false" customHeight="true" outlineLevel="0" collapsed="false">
      <c r="A35" s="28" t="s">
        <v>64</v>
      </c>
      <c r="B35" s="28" t="n">
        <f aca="false">SUMPRODUCT((TEXT('📊 Sales Report'!$A$5:$A$957,"MMMM")=A35)*1)</f>
        <v>0</v>
      </c>
      <c r="C35" s="29" t="n">
        <f aca="false">SUMPRODUCT((TEXT('📊 Sales Report'!$A$5:$A$957,"MMMM")=A35)*'📊 Sales Report'!$I$5:$I$957)</f>
        <v>0</v>
      </c>
      <c r="D35" s="29" t="n">
        <f aca="false">C35-SUMPRODUCT((TEXT('📊 Sales Report'!$A$5:$A$957,"MMMM")=A35)*'📊 Sales Report'!$N$5:$N$957)</f>
        <v>0</v>
      </c>
      <c r="E35" s="29" t="n">
        <f aca="false">SUMPRODUCT((TEXT('📊 Sales Report'!$A$5:$A$957,"MMMM")=A35)*'📊 Sales Report'!$N$5:$N$957)</f>
        <v>0</v>
      </c>
      <c r="F35" s="29" t="n">
        <f aca="false">SUMPRODUCT((TEXT('💸 Expenses'!$A$5:$A$24,"MMMM")=A35)*'💸 Expenses'!$F$5:$F$24)</f>
        <v>0</v>
      </c>
      <c r="G35" s="29" t="n">
        <f aca="false">E35-F35</f>
        <v>0</v>
      </c>
      <c r="H35" s="30" t="n">
        <f aca="false">IFERROR(G35/C35,0)</f>
        <v>0</v>
      </c>
    </row>
    <row r="37" customFormat="false" ht="13.5" hidden="false" customHeight="true" outlineLevel="0" collapsed="false">
      <c r="A37" s="39" t="s">
        <v>65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</sheetData>
  <mergeCells count="28">
    <mergeCell ref="A1:T3"/>
    <mergeCell ref="A4:T4"/>
    <mergeCell ref="A6:C6"/>
    <mergeCell ref="E6:G6"/>
    <mergeCell ref="I6:K6"/>
    <mergeCell ref="M6:O6"/>
    <mergeCell ref="Q6:S6"/>
    <mergeCell ref="A7:C8"/>
    <mergeCell ref="E7:G8"/>
    <mergeCell ref="I7:K8"/>
    <mergeCell ref="M7:O8"/>
    <mergeCell ref="Q7:S8"/>
    <mergeCell ref="A10:C10"/>
    <mergeCell ref="E10:G10"/>
    <mergeCell ref="I10:K10"/>
    <mergeCell ref="M10:O10"/>
    <mergeCell ref="Q10:S10"/>
    <mergeCell ref="A11:C12"/>
    <mergeCell ref="E11:G12"/>
    <mergeCell ref="I11:K12"/>
    <mergeCell ref="M11:O12"/>
    <mergeCell ref="Q11:S12"/>
    <mergeCell ref="A14:G14"/>
    <mergeCell ref="I14:O14"/>
    <mergeCell ref="Q14:T14"/>
    <mergeCell ref="A22:J22"/>
    <mergeCell ref="L22:T22"/>
    <mergeCell ref="A37:T37"/>
  </mergeCells>
  <conditionalFormatting sqref="C24:C35">
    <cfRule type="colorScale" priority="2">
      <colorScale>
        <cfvo type="min" val="0"/>
        <cfvo type="max" val="0"/>
        <color rgb="FFFFFFFF"/>
        <color rgb="FF27AE60"/>
      </colorScale>
    </cfRule>
  </conditionalFormatting>
  <conditionalFormatting sqref="G24:G3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N9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21.75" hidden="false" customHeight="true" outlineLevel="0" collapsed="false">
      <c r="A1" s="40" t="s">
        <v>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customFormat="false" ht="30" hidden="false" customHeight="true" outlineLevel="0" collapsed="false">
      <c r="A4" s="41" t="s">
        <v>67</v>
      </c>
      <c r="B4" s="41" t="s">
        <v>68</v>
      </c>
      <c r="C4" s="41" t="s">
        <v>69</v>
      </c>
      <c r="D4" s="41" t="s">
        <v>70</v>
      </c>
      <c r="E4" s="41" t="s">
        <v>71</v>
      </c>
      <c r="F4" s="41" t="s">
        <v>72</v>
      </c>
      <c r="G4" s="41" t="s">
        <v>73</v>
      </c>
      <c r="H4" s="41" t="s">
        <v>74</v>
      </c>
      <c r="I4" s="41" t="s">
        <v>75</v>
      </c>
      <c r="J4" s="41" t="s">
        <v>15</v>
      </c>
      <c r="K4" s="41" t="s">
        <v>76</v>
      </c>
      <c r="L4" s="41" t="s">
        <v>77</v>
      </c>
      <c r="M4" s="41" t="s">
        <v>78</v>
      </c>
      <c r="N4" s="41" t="s">
        <v>79</v>
      </c>
    </row>
    <row r="5" customFormat="false" ht="16.5" hidden="false" customHeight="true" outlineLevel="0" collapsed="false">
      <c r="A5" s="42" t="n">
        <v>45658</v>
      </c>
      <c r="B5" s="24" t="s">
        <v>80</v>
      </c>
      <c r="C5" s="43" t="s">
        <v>27</v>
      </c>
      <c r="D5" s="43" t="s">
        <v>81</v>
      </c>
      <c r="E5" s="24" t="n">
        <v>1</v>
      </c>
      <c r="F5" s="44" t="n">
        <v>4.5</v>
      </c>
      <c r="G5" s="24" t="n">
        <v>0</v>
      </c>
      <c r="H5" s="24" t="n">
        <v>12</v>
      </c>
      <c r="I5" s="44" t="n">
        <f aca="false">E5*F5*(1-G5/100)*(1+H5/100)</f>
        <v>5.04</v>
      </c>
      <c r="J5" s="24" t="s">
        <v>26</v>
      </c>
      <c r="K5" s="24" t="s">
        <v>82</v>
      </c>
      <c r="L5" s="43" t="s">
        <v>83</v>
      </c>
      <c r="M5" s="44" t="n">
        <f aca="false">F5*(1-G5/100)-2.8</f>
        <v>1.7</v>
      </c>
      <c r="N5" s="44" t="n">
        <f aca="false">M5*E5</f>
        <v>1.7</v>
      </c>
    </row>
    <row r="6" customFormat="false" ht="16.5" hidden="false" customHeight="true" outlineLevel="0" collapsed="false">
      <c r="A6" s="45" t="n">
        <v>45658</v>
      </c>
      <c r="B6" s="28" t="s">
        <v>84</v>
      </c>
      <c r="C6" s="46" t="s">
        <v>27</v>
      </c>
      <c r="D6" s="46" t="s">
        <v>81</v>
      </c>
      <c r="E6" s="28" t="n">
        <v>5</v>
      </c>
      <c r="F6" s="47" t="n">
        <v>4.5</v>
      </c>
      <c r="G6" s="28" t="n">
        <v>0</v>
      </c>
      <c r="H6" s="28" t="n">
        <v>12</v>
      </c>
      <c r="I6" s="47" t="n">
        <f aca="false">E6*F6*(1-G6/100)*(1+H6/100)</f>
        <v>25.2</v>
      </c>
      <c r="J6" s="28" t="s">
        <v>34</v>
      </c>
      <c r="K6" s="28" t="s">
        <v>85</v>
      </c>
      <c r="L6" s="46" t="s">
        <v>86</v>
      </c>
      <c r="M6" s="47" t="n">
        <f aca="false">F6*(1-G6/100)-2.8</f>
        <v>1.7</v>
      </c>
      <c r="N6" s="47" t="n">
        <f aca="false">M6*E6</f>
        <v>8.5</v>
      </c>
    </row>
    <row r="7" customFormat="false" ht="16.5" hidden="false" customHeight="true" outlineLevel="0" collapsed="false">
      <c r="A7" s="42" t="n">
        <v>45658</v>
      </c>
      <c r="B7" s="24" t="s">
        <v>87</v>
      </c>
      <c r="C7" s="43" t="s">
        <v>25</v>
      </c>
      <c r="D7" s="43" t="s">
        <v>81</v>
      </c>
      <c r="E7" s="24" t="n">
        <v>1</v>
      </c>
      <c r="F7" s="44" t="n">
        <v>3.5</v>
      </c>
      <c r="G7" s="24" t="n">
        <v>0</v>
      </c>
      <c r="H7" s="24" t="n">
        <v>12</v>
      </c>
      <c r="I7" s="44" t="n">
        <f aca="false">E7*F7*(1-G7/100)*(1+H7/100)</f>
        <v>3.92</v>
      </c>
      <c r="J7" s="24" t="s">
        <v>26</v>
      </c>
      <c r="K7" s="24" t="s">
        <v>88</v>
      </c>
      <c r="L7" s="43" t="s">
        <v>89</v>
      </c>
      <c r="M7" s="44" t="n">
        <f aca="false">F7*(1-G7/100)-2.2</f>
        <v>1.3</v>
      </c>
      <c r="N7" s="44" t="n">
        <f aca="false">M7*E7</f>
        <v>1.3</v>
      </c>
    </row>
    <row r="8" customFormat="false" ht="16.5" hidden="false" customHeight="true" outlineLevel="0" collapsed="false">
      <c r="A8" s="45" t="n">
        <v>45658</v>
      </c>
      <c r="B8" s="28" t="s">
        <v>90</v>
      </c>
      <c r="C8" s="46" t="s">
        <v>25</v>
      </c>
      <c r="D8" s="46" t="s">
        <v>81</v>
      </c>
      <c r="E8" s="28" t="n">
        <v>5</v>
      </c>
      <c r="F8" s="47" t="n">
        <v>3.5</v>
      </c>
      <c r="G8" s="28" t="n">
        <v>0</v>
      </c>
      <c r="H8" s="28" t="n">
        <v>12</v>
      </c>
      <c r="I8" s="47" t="n">
        <f aca="false">E8*F8*(1-G8/100)*(1+H8/100)</f>
        <v>19.6</v>
      </c>
      <c r="J8" s="28" t="s">
        <v>34</v>
      </c>
      <c r="K8" s="28" t="s">
        <v>85</v>
      </c>
      <c r="L8" s="46" t="s">
        <v>91</v>
      </c>
      <c r="M8" s="47" t="n">
        <f aca="false">F8*(1-G8/100)-2.2</f>
        <v>1.3</v>
      </c>
      <c r="N8" s="47" t="n">
        <f aca="false">M8*E8</f>
        <v>6.5</v>
      </c>
    </row>
    <row r="9" customFormat="false" ht="16.5" hidden="false" customHeight="true" outlineLevel="0" collapsed="false">
      <c r="A9" s="42" t="n">
        <v>45658</v>
      </c>
      <c r="B9" s="24" t="s">
        <v>92</v>
      </c>
      <c r="C9" s="43" t="s">
        <v>93</v>
      </c>
      <c r="D9" s="43" t="s">
        <v>81</v>
      </c>
      <c r="E9" s="24" t="n">
        <v>5</v>
      </c>
      <c r="F9" s="44" t="n">
        <v>3</v>
      </c>
      <c r="G9" s="24" t="n">
        <v>0</v>
      </c>
      <c r="H9" s="24" t="n">
        <v>12</v>
      </c>
      <c r="I9" s="44" t="n">
        <f aca="false">E9*F9*(1-G9/100)*(1+H9/100)</f>
        <v>16.8</v>
      </c>
      <c r="J9" s="24" t="s">
        <v>24</v>
      </c>
      <c r="K9" s="24" t="s">
        <v>82</v>
      </c>
      <c r="L9" s="43" t="s">
        <v>94</v>
      </c>
      <c r="M9" s="44" t="n">
        <f aca="false">F9*(1-G9/100)-1.5</f>
        <v>1.5</v>
      </c>
      <c r="N9" s="44" t="n">
        <f aca="false">M9*E9</f>
        <v>7.5</v>
      </c>
    </row>
    <row r="10" customFormat="false" ht="16.5" hidden="false" customHeight="true" outlineLevel="0" collapsed="false">
      <c r="A10" s="45" t="n">
        <v>45658</v>
      </c>
      <c r="B10" s="28" t="s">
        <v>95</v>
      </c>
      <c r="C10" s="46" t="s">
        <v>36</v>
      </c>
      <c r="D10" s="46" t="s">
        <v>96</v>
      </c>
      <c r="E10" s="28" t="n">
        <v>3</v>
      </c>
      <c r="F10" s="47" t="n">
        <v>8.5</v>
      </c>
      <c r="G10" s="28" t="n">
        <v>0</v>
      </c>
      <c r="H10" s="28" t="n">
        <v>12</v>
      </c>
      <c r="I10" s="47" t="n">
        <f aca="false">E10*F10*(1-G10/100)*(1+H10/100)</f>
        <v>28.56</v>
      </c>
      <c r="J10" s="28" t="s">
        <v>26</v>
      </c>
      <c r="K10" s="28" t="s">
        <v>97</v>
      </c>
      <c r="L10" s="46" t="s">
        <v>98</v>
      </c>
      <c r="M10" s="47" t="n">
        <f aca="false">F10*(1-G10/100)-4.2</f>
        <v>4.3</v>
      </c>
      <c r="N10" s="47" t="n">
        <f aca="false">M10*E10</f>
        <v>12.9</v>
      </c>
    </row>
    <row r="11" customFormat="false" ht="16.5" hidden="false" customHeight="true" outlineLevel="0" collapsed="false">
      <c r="A11" s="42" t="n">
        <v>45658</v>
      </c>
      <c r="B11" s="24" t="s">
        <v>99</v>
      </c>
      <c r="C11" s="43" t="s">
        <v>27</v>
      </c>
      <c r="D11" s="43" t="s">
        <v>81</v>
      </c>
      <c r="E11" s="24" t="n">
        <v>4</v>
      </c>
      <c r="F11" s="44" t="n">
        <v>4.5</v>
      </c>
      <c r="G11" s="24" t="n">
        <v>0</v>
      </c>
      <c r="H11" s="24" t="n">
        <v>12</v>
      </c>
      <c r="I11" s="44" t="n">
        <f aca="false">E11*F11*(1-G11/100)*(1+H11/100)</f>
        <v>20.16</v>
      </c>
      <c r="J11" s="24" t="s">
        <v>28</v>
      </c>
      <c r="K11" s="24" t="s">
        <v>97</v>
      </c>
      <c r="L11" s="43" t="s">
        <v>89</v>
      </c>
      <c r="M11" s="44" t="n">
        <f aca="false">F11*(1-G11/100)-2.8</f>
        <v>1.7</v>
      </c>
      <c r="N11" s="44" t="n">
        <f aca="false">M11*E11</f>
        <v>6.8</v>
      </c>
    </row>
    <row r="12" customFormat="false" ht="16.5" hidden="false" customHeight="true" outlineLevel="0" collapsed="false">
      <c r="A12" s="45" t="n">
        <v>45658</v>
      </c>
      <c r="B12" s="28" t="s">
        <v>100</v>
      </c>
      <c r="C12" s="46" t="s">
        <v>35</v>
      </c>
      <c r="D12" s="46" t="s">
        <v>81</v>
      </c>
      <c r="E12" s="28" t="n">
        <v>1</v>
      </c>
      <c r="F12" s="47" t="n">
        <v>1.5</v>
      </c>
      <c r="G12" s="28" t="n">
        <v>5</v>
      </c>
      <c r="H12" s="28" t="n">
        <v>12</v>
      </c>
      <c r="I12" s="47" t="n">
        <f aca="false">E12*F12*(1-G12/100)*(1+H12/100)</f>
        <v>1.596</v>
      </c>
      <c r="J12" s="28" t="s">
        <v>34</v>
      </c>
      <c r="K12" s="28" t="s">
        <v>101</v>
      </c>
      <c r="L12" s="46" t="s">
        <v>94</v>
      </c>
      <c r="M12" s="47" t="n">
        <f aca="false">F12*(1-G12/100)-0.6</f>
        <v>0.825</v>
      </c>
      <c r="N12" s="47" t="n">
        <f aca="false">M12*E12</f>
        <v>0.825</v>
      </c>
    </row>
    <row r="13" customFormat="false" ht="16.5" hidden="false" customHeight="true" outlineLevel="0" collapsed="false">
      <c r="A13" s="42" t="n">
        <v>45658</v>
      </c>
      <c r="B13" s="24" t="s">
        <v>102</v>
      </c>
      <c r="C13" s="43" t="s">
        <v>27</v>
      </c>
      <c r="D13" s="43" t="s">
        <v>81</v>
      </c>
      <c r="E13" s="24" t="n">
        <v>5</v>
      </c>
      <c r="F13" s="44" t="n">
        <v>4.5</v>
      </c>
      <c r="G13" s="24" t="n">
        <v>0</v>
      </c>
      <c r="H13" s="24" t="n">
        <v>12</v>
      </c>
      <c r="I13" s="44" t="n">
        <f aca="false">E13*F13*(1-G13/100)*(1+H13/100)</f>
        <v>25.2</v>
      </c>
      <c r="J13" s="24" t="s">
        <v>34</v>
      </c>
      <c r="K13" s="24" t="s">
        <v>97</v>
      </c>
      <c r="L13" s="43" t="s">
        <v>89</v>
      </c>
      <c r="M13" s="44" t="n">
        <f aca="false">F13*(1-G13/100)-2.8</f>
        <v>1.7</v>
      </c>
      <c r="N13" s="44" t="n">
        <f aca="false">M13*E13</f>
        <v>8.5</v>
      </c>
    </row>
    <row r="14" customFormat="false" ht="16.5" hidden="false" customHeight="true" outlineLevel="0" collapsed="false">
      <c r="A14" s="45" t="n">
        <v>45658</v>
      </c>
      <c r="B14" s="28" t="s">
        <v>103</v>
      </c>
      <c r="C14" s="46" t="s">
        <v>33</v>
      </c>
      <c r="D14" s="46" t="s">
        <v>104</v>
      </c>
      <c r="E14" s="28" t="n">
        <v>1</v>
      </c>
      <c r="F14" s="47" t="n">
        <v>5</v>
      </c>
      <c r="G14" s="28" t="n">
        <v>0</v>
      </c>
      <c r="H14" s="28" t="n">
        <v>12</v>
      </c>
      <c r="I14" s="47" t="n">
        <f aca="false">E14*F14*(1-G14/100)*(1+H14/100)</f>
        <v>5.6</v>
      </c>
      <c r="J14" s="28" t="s">
        <v>26</v>
      </c>
      <c r="K14" s="28" t="s">
        <v>97</v>
      </c>
      <c r="L14" s="46" t="s">
        <v>98</v>
      </c>
      <c r="M14" s="47" t="n">
        <f aca="false">F14*(1-G14/100)-2.5</f>
        <v>2.5</v>
      </c>
      <c r="N14" s="47" t="n">
        <f aca="false">M14*E14</f>
        <v>2.5</v>
      </c>
    </row>
    <row r="15" customFormat="false" ht="16.5" hidden="false" customHeight="true" outlineLevel="0" collapsed="false">
      <c r="A15" s="42" t="n">
        <v>45658</v>
      </c>
      <c r="B15" s="24" t="s">
        <v>105</v>
      </c>
      <c r="C15" s="43" t="s">
        <v>33</v>
      </c>
      <c r="D15" s="43" t="s">
        <v>104</v>
      </c>
      <c r="E15" s="24" t="n">
        <v>1</v>
      </c>
      <c r="F15" s="44" t="n">
        <v>5</v>
      </c>
      <c r="G15" s="24" t="n">
        <v>5</v>
      </c>
      <c r="H15" s="24" t="n">
        <v>12</v>
      </c>
      <c r="I15" s="44" t="n">
        <f aca="false">E15*F15*(1-G15/100)*(1+H15/100)</f>
        <v>5.32</v>
      </c>
      <c r="J15" s="24" t="s">
        <v>28</v>
      </c>
      <c r="K15" s="24" t="s">
        <v>85</v>
      </c>
      <c r="L15" s="43" t="s">
        <v>106</v>
      </c>
      <c r="M15" s="44" t="n">
        <f aca="false">F15*(1-G15/100)-2.5</f>
        <v>2.25</v>
      </c>
      <c r="N15" s="44" t="n">
        <f aca="false">M15*E15</f>
        <v>2.25</v>
      </c>
    </row>
    <row r="16" customFormat="false" ht="16.5" hidden="false" customHeight="true" outlineLevel="0" collapsed="false">
      <c r="A16" s="45" t="n">
        <v>45658</v>
      </c>
      <c r="B16" s="28" t="s">
        <v>107</v>
      </c>
      <c r="C16" s="46" t="s">
        <v>29</v>
      </c>
      <c r="D16" s="46" t="s">
        <v>104</v>
      </c>
      <c r="E16" s="28" t="n">
        <v>3</v>
      </c>
      <c r="F16" s="47" t="n">
        <v>2.5</v>
      </c>
      <c r="G16" s="28" t="n">
        <v>0</v>
      </c>
      <c r="H16" s="28" t="n">
        <v>12</v>
      </c>
      <c r="I16" s="47" t="n">
        <f aca="false">E16*F16*(1-G16/100)*(1+H16/100)</f>
        <v>8.4</v>
      </c>
      <c r="J16" s="28" t="s">
        <v>26</v>
      </c>
      <c r="K16" s="28" t="s">
        <v>97</v>
      </c>
      <c r="L16" s="46" t="s">
        <v>98</v>
      </c>
      <c r="M16" s="47" t="n">
        <f aca="false">F16*(1-G16/100)-1.1</f>
        <v>1.4</v>
      </c>
      <c r="N16" s="47" t="n">
        <f aca="false">M16*E16</f>
        <v>4.2</v>
      </c>
    </row>
    <row r="17" customFormat="false" ht="16.5" hidden="false" customHeight="true" outlineLevel="0" collapsed="false">
      <c r="A17" s="42" t="n">
        <v>45658</v>
      </c>
      <c r="B17" s="24" t="s">
        <v>108</v>
      </c>
      <c r="C17" s="43" t="s">
        <v>109</v>
      </c>
      <c r="D17" s="43" t="s">
        <v>110</v>
      </c>
      <c r="E17" s="24" t="n">
        <v>2</v>
      </c>
      <c r="F17" s="44" t="n">
        <v>3.5</v>
      </c>
      <c r="G17" s="24" t="n">
        <v>10</v>
      </c>
      <c r="H17" s="24" t="n">
        <v>12</v>
      </c>
      <c r="I17" s="44" t="n">
        <f aca="false">E17*F17*(1-G17/100)*(1+H17/100)</f>
        <v>7.056</v>
      </c>
      <c r="J17" s="24" t="s">
        <v>26</v>
      </c>
      <c r="K17" s="24" t="s">
        <v>82</v>
      </c>
      <c r="L17" s="43" t="s">
        <v>111</v>
      </c>
      <c r="M17" s="44" t="n">
        <f aca="false">F17*(1-G17/100)-1.4</f>
        <v>1.75</v>
      </c>
      <c r="N17" s="44" t="n">
        <f aca="false">M17*E17</f>
        <v>3.5</v>
      </c>
    </row>
    <row r="18" customFormat="false" ht="16.5" hidden="false" customHeight="true" outlineLevel="0" collapsed="false">
      <c r="A18" s="45" t="n">
        <v>45658</v>
      </c>
      <c r="B18" s="28" t="s">
        <v>112</v>
      </c>
      <c r="C18" s="46" t="s">
        <v>113</v>
      </c>
      <c r="D18" s="46" t="s">
        <v>96</v>
      </c>
      <c r="E18" s="28" t="n">
        <v>3</v>
      </c>
      <c r="F18" s="47" t="n">
        <v>6</v>
      </c>
      <c r="G18" s="28" t="n">
        <v>10</v>
      </c>
      <c r="H18" s="28" t="n">
        <v>12</v>
      </c>
      <c r="I18" s="47" t="n">
        <f aca="false">E18*F18*(1-G18/100)*(1+H18/100)</f>
        <v>18.144</v>
      </c>
      <c r="J18" s="28" t="s">
        <v>26</v>
      </c>
      <c r="K18" s="28" t="s">
        <v>97</v>
      </c>
      <c r="L18" s="46" t="s">
        <v>86</v>
      </c>
      <c r="M18" s="47" t="n">
        <f aca="false">F18*(1-G18/100)-2.8</f>
        <v>2.6</v>
      </c>
      <c r="N18" s="47" t="n">
        <f aca="false">M18*E18</f>
        <v>7.8</v>
      </c>
    </row>
    <row r="19" customFormat="false" ht="16.5" hidden="false" customHeight="true" outlineLevel="0" collapsed="false">
      <c r="A19" s="42" t="n">
        <v>45658</v>
      </c>
      <c r="B19" s="24" t="s">
        <v>114</v>
      </c>
      <c r="C19" s="43" t="s">
        <v>33</v>
      </c>
      <c r="D19" s="43" t="s">
        <v>104</v>
      </c>
      <c r="E19" s="24" t="n">
        <v>1</v>
      </c>
      <c r="F19" s="44" t="n">
        <v>5</v>
      </c>
      <c r="G19" s="24" t="n">
        <v>0</v>
      </c>
      <c r="H19" s="24" t="n">
        <v>12</v>
      </c>
      <c r="I19" s="44" t="n">
        <f aca="false">E19*F19*(1-G19/100)*(1+H19/100)</f>
        <v>5.6</v>
      </c>
      <c r="J19" s="24" t="s">
        <v>32</v>
      </c>
      <c r="K19" s="24" t="s">
        <v>97</v>
      </c>
      <c r="L19" s="43" t="s">
        <v>98</v>
      </c>
      <c r="M19" s="44" t="n">
        <f aca="false">F19*(1-G19/100)-2.5</f>
        <v>2.5</v>
      </c>
      <c r="N19" s="44" t="n">
        <f aca="false">M19*E19</f>
        <v>2.5</v>
      </c>
    </row>
    <row r="20" customFormat="false" ht="16.5" hidden="false" customHeight="true" outlineLevel="0" collapsed="false">
      <c r="A20" s="45" t="n">
        <v>45659</v>
      </c>
      <c r="B20" s="28" t="s">
        <v>115</v>
      </c>
      <c r="C20" s="46" t="s">
        <v>109</v>
      </c>
      <c r="D20" s="46" t="s">
        <v>110</v>
      </c>
      <c r="E20" s="28" t="n">
        <v>3</v>
      </c>
      <c r="F20" s="47" t="n">
        <v>3.5</v>
      </c>
      <c r="G20" s="28" t="n">
        <v>0</v>
      </c>
      <c r="H20" s="28" t="n">
        <v>12</v>
      </c>
      <c r="I20" s="47" t="n">
        <f aca="false">E20*F20*(1-G20/100)*(1+H20/100)</f>
        <v>11.76</v>
      </c>
      <c r="J20" s="28" t="s">
        <v>32</v>
      </c>
      <c r="K20" s="28" t="s">
        <v>85</v>
      </c>
      <c r="L20" s="46" t="s">
        <v>111</v>
      </c>
      <c r="M20" s="47" t="n">
        <f aca="false">F20*(1-G20/100)-1.4</f>
        <v>2.1</v>
      </c>
      <c r="N20" s="47" t="n">
        <f aca="false">M20*E20</f>
        <v>6.3</v>
      </c>
    </row>
    <row r="21" customFormat="false" ht="16.5" hidden="false" customHeight="true" outlineLevel="0" collapsed="false">
      <c r="A21" s="42" t="n">
        <v>45659</v>
      </c>
      <c r="B21" s="24" t="s">
        <v>116</v>
      </c>
      <c r="C21" s="43" t="s">
        <v>29</v>
      </c>
      <c r="D21" s="43" t="s">
        <v>104</v>
      </c>
      <c r="E21" s="24" t="n">
        <v>3</v>
      </c>
      <c r="F21" s="44" t="n">
        <v>2.5</v>
      </c>
      <c r="G21" s="24" t="n">
        <v>0</v>
      </c>
      <c r="H21" s="24" t="n">
        <v>12</v>
      </c>
      <c r="I21" s="44" t="n">
        <f aca="false">E21*F21*(1-G21/100)*(1+H21/100)</f>
        <v>8.4</v>
      </c>
      <c r="J21" s="24" t="s">
        <v>26</v>
      </c>
      <c r="K21" s="24" t="s">
        <v>88</v>
      </c>
      <c r="L21" s="43" t="s">
        <v>117</v>
      </c>
      <c r="M21" s="44" t="n">
        <f aca="false">F21*(1-G21/100)-1.1</f>
        <v>1.4</v>
      </c>
      <c r="N21" s="44" t="n">
        <f aca="false">M21*E21</f>
        <v>4.2</v>
      </c>
    </row>
    <row r="22" customFormat="false" ht="16.5" hidden="false" customHeight="true" outlineLevel="0" collapsed="false">
      <c r="A22" s="45" t="n">
        <v>45659</v>
      </c>
      <c r="B22" s="28" t="s">
        <v>118</v>
      </c>
      <c r="C22" s="46" t="s">
        <v>35</v>
      </c>
      <c r="D22" s="46" t="s">
        <v>81</v>
      </c>
      <c r="E22" s="28" t="n">
        <v>5</v>
      </c>
      <c r="F22" s="47" t="n">
        <v>1.5</v>
      </c>
      <c r="G22" s="28" t="n">
        <v>5</v>
      </c>
      <c r="H22" s="28" t="n">
        <v>12</v>
      </c>
      <c r="I22" s="47" t="n">
        <f aca="false">E22*F22*(1-G22/100)*(1+H22/100)</f>
        <v>7.98</v>
      </c>
      <c r="J22" s="28" t="s">
        <v>34</v>
      </c>
      <c r="K22" s="28" t="s">
        <v>85</v>
      </c>
      <c r="L22" s="46" t="s">
        <v>106</v>
      </c>
      <c r="M22" s="47" t="n">
        <f aca="false">F22*(1-G22/100)-0.6</f>
        <v>0.825</v>
      </c>
      <c r="N22" s="47" t="n">
        <f aca="false">M22*E22</f>
        <v>4.125</v>
      </c>
    </row>
    <row r="23" customFormat="false" ht="16.5" hidden="false" customHeight="true" outlineLevel="0" collapsed="false">
      <c r="A23" s="42" t="n">
        <v>45659</v>
      </c>
      <c r="B23" s="24" t="s">
        <v>119</v>
      </c>
      <c r="C23" s="43" t="s">
        <v>33</v>
      </c>
      <c r="D23" s="43" t="s">
        <v>104</v>
      </c>
      <c r="E23" s="24" t="n">
        <v>2</v>
      </c>
      <c r="F23" s="44" t="n">
        <v>5</v>
      </c>
      <c r="G23" s="24" t="n">
        <v>10</v>
      </c>
      <c r="H23" s="24" t="n">
        <v>12</v>
      </c>
      <c r="I23" s="44" t="n">
        <f aca="false">E23*F23*(1-G23/100)*(1+H23/100)</f>
        <v>10.08</v>
      </c>
      <c r="J23" s="24" t="s">
        <v>32</v>
      </c>
      <c r="K23" s="24" t="s">
        <v>101</v>
      </c>
      <c r="L23" s="43" t="s">
        <v>86</v>
      </c>
      <c r="M23" s="44" t="n">
        <f aca="false">F23*(1-G23/100)-2.5</f>
        <v>2</v>
      </c>
      <c r="N23" s="44" t="n">
        <f aca="false">M23*E23</f>
        <v>4</v>
      </c>
    </row>
    <row r="24" customFormat="false" ht="16.5" hidden="false" customHeight="true" outlineLevel="0" collapsed="false">
      <c r="A24" s="45" t="n">
        <v>45659</v>
      </c>
      <c r="B24" s="28" t="s">
        <v>120</v>
      </c>
      <c r="C24" s="46" t="s">
        <v>27</v>
      </c>
      <c r="D24" s="46" t="s">
        <v>81</v>
      </c>
      <c r="E24" s="28" t="n">
        <v>2</v>
      </c>
      <c r="F24" s="47" t="n">
        <v>4.5</v>
      </c>
      <c r="G24" s="28" t="n">
        <v>0</v>
      </c>
      <c r="H24" s="28" t="n">
        <v>12</v>
      </c>
      <c r="I24" s="47" t="n">
        <f aca="false">E24*F24*(1-G24/100)*(1+H24/100)</f>
        <v>10.08</v>
      </c>
      <c r="J24" s="28" t="s">
        <v>32</v>
      </c>
      <c r="K24" s="28" t="s">
        <v>88</v>
      </c>
      <c r="L24" s="46" t="s">
        <v>98</v>
      </c>
      <c r="M24" s="47" t="n">
        <f aca="false">F24*(1-G24/100)-2.8</f>
        <v>1.7</v>
      </c>
      <c r="N24" s="47" t="n">
        <f aca="false">M24*E24</f>
        <v>3.4</v>
      </c>
    </row>
    <row r="25" customFormat="false" ht="16.5" hidden="false" customHeight="true" outlineLevel="0" collapsed="false">
      <c r="A25" s="42" t="n">
        <v>45659</v>
      </c>
      <c r="B25" s="24" t="s">
        <v>121</v>
      </c>
      <c r="C25" s="43" t="s">
        <v>113</v>
      </c>
      <c r="D25" s="43" t="s">
        <v>96</v>
      </c>
      <c r="E25" s="24" t="n">
        <v>4</v>
      </c>
      <c r="F25" s="44" t="n">
        <v>6</v>
      </c>
      <c r="G25" s="24" t="n">
        <v>10</v>
      </c>
      <c r="H25" s="24" t="n">
        <v>12</v>
      </c>
      <c r="I25" s="44" t="n">
        <f aca="false">E25*F25*(1-G25/100)*(1+H25/100)</f>
        <v>24.192</v>
      </c>
      <c r="J25" s="24" t="s">
        <v>32</v>
      </c>
      <c r="K25" s="24" t="s">
        <v>88</v>
      </c>
      <c r="L25" s="43" t="s">
        <v>122</v>
      </c>
      <c r="M25" s="44" t="n">
        <f aca="false">F25*(1-G25/100)-2.8</f>
        <v>2.6</v>
      </c>
      <c r="N25" s="44" t="n">
        <f aca="false">M25*E25</f>
        <v>10.4</v>
      </c>
    </row>
    <row r="26" customFormat="false" ht="16.5" hidden="false" customHeight="true" outlineLevel="0" collapsed="false">
      <c r="A26" s="45" t="n">
        <v>45659</v>
      </c>
      <c r="B26" s="28" t="s">
        <v>123</v>
      </c>
      <c r="C26" s="46" t="s">
        <v>124</v>
      </c>
      <c r="D26" s="46" t="s">
        <v>96</v>
      </c>
      <c r="E26" s="28" t="n">
        <v>1</v>
      </c>
      <c r="F26" s="47" t="n">
        <v>4</v>
      </c>
      <c r="G26" s="28" t="n">
        <v>0</v>
      </c>
      <c r="H26" s="28" t="n">
        <v>12</v>
      </c>
      <c r="I26" s="47" t="n">
        <f aca="false">E26*F26*(1-G26/100)*(1+H26/100)</f>
        <v>4.48</v>
      </c>
      <c r="J26" s="28" t="s">
        <v>34</v>
      </c>
      <c r="K26" s="28" t="s">
        <v>97</v>
      </c>
      <c r="L26" s="46" t="s">
        <v>106</v>
      </c>
      <c r="M26" s="47" t="n">
        <f aca="false">F26*(1-G26/100)-1.8</f>
        <v>2.2</v>
      </c>
      <c r="N26" s="47" t="n">
        <f aca="false">M26*E26</f>
        <v>2.2</v>
      </c>
    </row>
    <row r="27" customFormat="false" ht="16.5" hidden="false" customHeight="true" outlineLevel="0" collapsed="false">
      <c r="A27" s="42" t="n">
        <v>45659</v>
      </c>
      <c r="B27" s="24" t="s">
        <v>125</v>
      </c>
      <c r="C27" s="43" t="s">
        <v>27</v>
      </c>
      <c r="D27" s="43" t="s">
        <v>81</v>
      </c>
      <c r="E27" s="24" t="n">
        <v>3</v>
      </c>
      <c r="F27" s="44" t="n">
        <v>4.5</v>
      </c>
      <c r="G27" s="24" t="n">
        <v>5</v>
      </c>
      <c r="H27" s="24" t="n">
        <v>12</v>
      </c>
      <c r="I27" s="44" t="n">
        <f aca="false">E27*F27*(1-G27/100)*(1+H27/100)</f>
        <v>14.364</v>
      </c>
      <c r="J27" s="24" t="s">
        <v>26</v>
      </c>
      <c r="K27" s="24" t="s">
        <v>85</v>
      </c>
      <c r="L27" s="43" t="s">
        <v>86</v>
      </c>
      <c r="M27" s="44" t="n">
        <f aca="false">F27*(1-G27/100)-2.8</f>
        <v>1.475</v>
      </c>
      <c r="N27" s="44" t="n">
        <f aca="false">M27*E27</f>
        <v>4.425</v>
      </c>
    </row>
    <row r="28" customFormat="false" ht="16.5" hidden="false" customHeight="true" outlineLevel="0" collapsed="false">
      <c r="A28" s="45" t="n">
        <v>45660</v>
      </c>
      <c r="B28" s="28" t="s">
        <v>126</v>
      </c>
      <c r="C28" s="46" t="s">
        <v>124</v>
      </c>
      <c r="D28" s="46" t="s">
        <v>96</v>
      </c>
      <c r="E28" s="28" t="n">
        <v>2</v>
      </c>
      <c r="F28" s="47" t="n">
        <v>4</v>
      </c>
      <c r="G28" s="28" t="n">
        <v>10</v>
      </c>
      <c r="H28" s="28" t="n">
        <v>12</v>
      </c>
      <c r="I28" s="47" t="n">
        <f aca="false">E28*F28*(1-G28/100)*(1+H28/100)</f>
        <v>8.064</v>
      </c>
      <c r="J28" s="28" t="s">
        <v>24</v>
      </c>
      <c r="K28" s="28" t="s">
        <v>97</v>
      </c>
      <c r="L28" s="46" t="s">
        <v>117</v>
      </c>
      <c r="M28" s="47" t="n">
        <f aca="false">F28*(1-G28/100)-1.8</f>
        <v>1.8</v>
      </c>
      <c r="N28" s="47" t="n">
        <f aca="false">M28*E28</f>
        <v>3.6</v>
      </c>
    </row>
    <row r="29" customFormat="false" ht="16.5" hidden="false" customHeight="true" outlineLevel="0" collapsed="false">
      <c r="A29" s="42" t="n">
        <v>45660</v>
      </c>
      <c r="B29" s="24" t="s">
        <v>127</v>
      </c>
      <c r="C29" s="43" t="s">
        <v>109</v>
      </c>
      <c r="D29" s="43" t="s">
        <v>110</v>
      </c>
      <c r="E29" s="24" t="n">
        <v>2</v>
      </c>
      <c r="F29" s="44" t="n">
        <v>3.5</v>
      </c>
      <c r="G29" s="24" t="n">
        <v>0</v>
      </c>
      <c r="H29" s="24" t="n">
        <v>12</v>
      </c>
      <c r="I29" s="44" t="n">
        <f aca="false">E29*F29*(1-G29/100)*(1+H29/100)</f>
        <v>7.84</v>
      </c>
      <c r="J29" s="24" t="s">
        <v>28</v>
      </c>
      <c r="K29" s="24" t="s">
        <v>82</v>
      </c>
      <c r="L29" s="43" t="s">
        <v>117</v>
      </c>
      <c r="M29" s="44" t="n">
        <f aca="false">F29*(1-G29/100)-1.4</f>
        <v>2.1</v>
      </c>
      <c r="N29" s="44" t="n">
        <f aca="false">M29*E29</f>
        <v>4.2</v>
      </c>
    </row>
    <row r="30" customFormat="false" ht="16.5" hidden="false" customHeight="true" outlineLevel="0" collapsed="false">
      <c r="A30" s="45" t="n">
        <v>45660</v>
      </c>
      <c r="B30" s="28" t="s">
        <v>128</v>
      </c>
      <c r="C30" s="46" t="s">
        <v>124</v>
      </c>
      <c r="D30" s="46" t="s">
        <v>96</v>
      </c>
      <c r="E30" s="28" t="n">
        <v>1</v>
      </c>
      <c r="F30" s="47" t="n">
        <v>4</v>
      </c>
      <c r="G30" s="28" t="n">
        <v>10</v>
      </c>
      <c r="H30" s="28" t="n">
        <v>12</v>
      </c>
      <c r="I30" s="47" t="n">
        <f aca="false">E30*F30*(1-G30/100)*(1+H30/100)</f>
        <v>4.032</v>
      </c>
      <c r="J30" s="28" t="s">
        <v>28</v>
      </c>
      <c r="K30" s="28" t="s">
        <v>85</v>
      </c>
      <c r="L30" s="46" t="s">
        <v>86</v>
      </c>
      <c r="M30" s="47" t="n">
        <f aca="false">F30*(1-G30/100)-1.8</f>
        <v>1.8</v>
      </c>
      <c r="N30" s="47" t="n">
        <f aca="false">M30*E30</f>
        <v>1.8</v>
      </c>
    </row>
    <row r="31" customFormat="false" ht="16.5" hidden="false" customHeight="true" outlineLevel="0" collapsed="false">
      <c r="A31" s="42" t="n">
        <v>45660</v>
      </c>
      <c r="B31" s="24" t="s">
        <v>129</v>
      </c>
      <c r="C31" s="43" t="s">
        <v>27</v>
      </c>
      <c r="D31" s="43" t="s">
        <v>81</v>
      </c>
      <c r="E31" s="24" t="n">
        <v>3</v>
      </c>
      <c r="F31" s="44" t="n">
        <v>4.5</v>
      </c>
      <c r="G31" s="24" t="n">
        <v>0</v>
      </c>
      <c r="H31" s="24" t="n">
        <v>12</v>
      </c>
      <c r="I31" s="44" t="n">
        <f aca="false">E31*F31*(1-G31/100)*(1+H31/100)</f>
        <v>15.12</v>
      </c>
      <c r="J31" s="24" t="s">
        <v>26</v>
      </c>
      <c r="K31" s="24" t="s">
        <v>101</v>
      </c>
      <c r="L31" s="43" t="s">
        <v>91</v>
      </c>
      <c r="M31" s="44" t="n">
        <f aca="false">F31*(1-G31/100)-2.8</f>
        <v>1.7</v>
      </c>
      <c r="N31" s="44" t="n">
        <f aca="false">M31*E31</f>
        <v>5.1</v>
      </c>
    </row>
    <row r="32" customFormat="false" ht="16.5" hidden="false" customHeight="true" outlineLevel="0" collapsed="false">
      <c r="A32" s="45" t="n">
        <v>45660</v>
      </c>
      <c r="B32" s="28" t="s">
        <v>130</v>
      </c>
      <c r="C32" s="46" t="s">
        <v>109</v>
      </c>
      <c r="D32" s="46" t="s">
        <v>110</v>
      </c>
      <c r="E32" s="28" t="n">
        <v>1</v>
      </c>
      <c r="F32" s="47" t="n">
        <v>3.5</v>
      </c>
      <c r="G32" s="28" t="n">
        <v>0</v>
      </c>
      <c r="H32" s="28" t="n">
        <v>12</v>
      </c>
      <c r="I32" s="47" t="n">
        <f aca="false">E32*F32*(1-G32/100)*(1+H32/100)</f>
        <v>3.92</v>
      </c>
      <c r="J32" s="28" t="s">
        <v>32</v>
      </c>
      <c r="K32" s="28" t="s">
        <v>101</v>
      </c>
      <c r="L32" s="46" t="s">
        <v>117</v>
      </c>
      <c r="M32" s="47" t="n">
        <f aca="false">F32*(1-G32/100)-1.4</f>
        <v>2.1</v>
      </c>
      <c r="N32" s="47" t="n">
        <f aca="false">M32*E32</f>
        <v>2.1</v>
      </c>
    </row>
    <row r="33" customFormat="false" ht="16.5" hidden="false" customHeight="true" outlineLevel="0" collapsed="false">
      <c r="A33" s="42" t="n">
        <v>45660</v>
      </c>
      <c r="B33" s="24" t="s">
        <v>131</v>
      </c>
      <c r="C33" s="43" t="s">
        <v>29</v>
      </c>
      <c r="D33" s="43" t="s">
        <v>104</v>
      </c>
      <c r="E33" s="24" t="n">
        <v>2</v>
      </c>
      <c r="F33" s="44" t="n">
        <v>2.5</v>
      </c>
      <c r="G33" s="24" t="n">
        <v>5</v>
      </c>
      <c r="H33" s="24" t="n">
        <v>12</v>
      </c>
      <c r="I33" s="44" t="n">
        <f aca="false">E33*F33*(1-G33/100)*(1+H33/100)</f>
        <v>5.32</v>
      </c>
      <c r="J33" s="24" t="s">
        <v>34</v>
      </c>
      <c r="K33" s="24" t="s">
        <v>82</v>
      </c>
      <c r="L33" s="43" t="s">
        <v>122</v>
      </c>
      <c r="M33" s="44" t="n">
        <f aca="false">F33*(1-G33/100)-1.1</f>
        <v>1.275</v>
      </c>
      <c r="N33" s="44" t="n">
        <f aca="false">M33*E33</f>
        <v>2.55</v>
      </c>
    </row>
    <row r="34" customFormat="false" ht="16.5" hidden="false" customHeight="true" outlineLevel="0" collapsed="false">
      <c r="A34" s="45" t="n">
        <v>45660</v>
      </c>
      <c r="B34" s="28" t="s">
        <v>132</v>
      </c>
      <c r="C34" s="46" t="s">
        <v>124</v>
      </c>
      <c r="D34" s="46" t="s">
        <v>96</v>
      </c>
      <c r="E34" s="28" t="n">
        <v>5</v>
      </c>
      <c r="F34" s="47" t="n">
        <v>4</v>
      </c>
      <c r="G34" s="28" t="n">
        <v>5</v>
      </c>
      <c r="H34" s="28" t="n">
        <v>12</v>
      </c>
      <c r="I34" s="47" t="n">
        <f aca="false">E34*F34*(1-G34/100)*(1+H34/100)</f>
        <v>21.28</v>
      </c>
      <c r="J34" s="28" t="s">
        <v>26</v>
      </c>
      <c r="K34" s="28" t="s">
        <v>88</v>
      </c>
      <c r="L34" s="46" t="s">
        <v>91</v>
      </c>
      <c r="M34" s="47" t="n">
        <f aca="false">F34*(1-G34/100)-1.8</f>
        <v>2</v>
      </c>
      <c r="N34" s="47" t="n">
        <f aca="false">M34*E34</f>
        <v>10</v>
      </c>
    </row>
    <row r="35" customFormat="false" ht="16.5" hidden="false" customHeight="true" outlineLevel="0" collapsed="false">
      <c r="A35" s="42" t="n">
        <v>45660</v>
      </c>
      <c r="B35" s="24" t="s">
        <v>133</v>
      </c>
      <c r="C35" s="43" t="s">
        <v>35</v>
      </c>
      <c r="D35" s="43" t="s">
        <v>81</v>
      </c>
      <c r="E35" s="24" t="n">
        <v>4</v>
      </c>
      <c r="F35" s="44" t="n">
        <v>1.5</v>
      </c>
      <c r="G35" s="24" t="n">
        <v>0</v>
      </c>
      <c r="H35" s="24" t="n">
        <v>12</v>
      </c>
      <c r="I35" s="44" t="n">
        <f aca="false">E35*F35*(1-G35/100)*(1+H35/100)</f>
        <v>6.72</v>
      </c>
      <c r="J35" s="24" t="s">
        <v>32</v>
      </c>
      <c r="K35" s="24" t="s">
        <v>88</v>
      </c>
      <c r="L35" s="43" t="s">
        <v>111</v>
      </c>
      <c r="M35" s="44" t="n">
        <f aca="false">F35*(1-G35/100)-0.6</f>
        <v>0.9</v>
      </c>
      <c r="N35" s="44" t="n">
        <f aca="false">M35*E35</f>
        <v>3.6</v>
      </c>
    </row>
    <row r="36" customFormat="false" ht="16.5" hidden="false" customHeight="true" outlineLevel="0" collapsed="false">
      <c r="A36" s="45" t="n">
        <v>45660</v>
      </c>
      <c r="B36" s="28" t="s">
        <v>134</v>
      </c>
      <c r="C36" s="46" t="s">
        <v>27</v>
      </c>
      <c r="D36" s="46" t="s">
        <v>81</v>
      </c>
      <c r="E36" s="28" t="n">
        <v>2</v>
      </c>
      <c r="F36" s="47" t="n">
        <v>4.5</v>
      </c>
      <c r="G36" s="28" t="n">
        <v>0</v>
      </c>
      <c r="H36" s="28" t="n">
        <v>12</v>
      </c>
      <c r="I36" s="47" t="n">
        <f aca="false">E36*F36*(1-G36/100)*(1+H36/100)</f>
        <v>10.08</v>
      </c>
      <c r="J36" s="28" t="s">
        <v>24</v>
      </c>
      <c r="K36" s="28" t="s">
        <v>97</v>
      </c>
      <c r="L36" s="46" t="s">
        <v>86</v>
      </c>
      <c r="M36" s="47" t="n">
        <f aca="false">F36*(1-G36/100)-2.8</f>
        <v>1.7</v>
      </c>
      <c r="N36" s="47" t="n">
        <f aca="false">M36*E36</f>
        <v>3.4</v>
      </c>
    </row>
    <row r="37" customFormat="false" ht="16.5" hidden="false" customHeight="true" outlineLevel="0" collapsed="false">
      <c r="A37" s="42" t="n">
        <v>45661</v>
      </c>
      <c r="B37" s="24" t="s">
        <v>135</v>
      </c>
      <c r="C37" s="43" t="s">
        <v>124</v>
      </c>
      <c r="D37" s="43" t="s">
        <v>96</v>
      </c>
      <c r="E37" s="24" t="n">
        <v>2</v>
      </c>
      <c r="F37" s="44" t="n">
        <v>4</v>
      </c>
      <c r="G37" s="24" t="n">
        <v>10</v>
      </c>
      <c r="H37" s="24" t="n">
        <v>12</v>
      </c>
      <c r="I37" s="44" t="n">
        <f aca="false">E37*F37*(1-G37/100)*(1+H37/100)</f>
        <v>8.064</v>
      </c>
      <c r="J37" s="24" t="s">
        <v>26</v>
      </c>
      <c r="K37" s="24" t="s">
        <v>101</v>
      </c>
      <c r="L37" s="43" t="s">
        <v>98</v>
      </c>
      <c r="M37" s="44" t="n">
        <f aca="false">F37*(1-G37/100)-1.8</f>
        <v>1.8</v>
      </c>
      <c r="N37" s="44" t="n">
        <f aca="false">M37*E37</f>
        <v>3.6</v>
      </c>
    </row>
    <row r="38" customFormat="false" ht="16.5" hidden="false" customHeight="true" outlineLevel="0" collapsed="false">
      <c r="A38" s="45" t="n">
        <v>45661</v>
      </c>
      <c r="B38" s="28" t="s">
        <v>136</v>
      </c>
      <c r="C38" s="46" t="s">
        <v>25</v>
      </c>
      <c r="D38" s="46" t="s">
        <v>81</v>
      </c>
      <c r="E38" s="28" t="n">
        <v>2</v>
      </c>
      <c r="F38" s="47" t="n">
        <v>3.5</v>
      </c>
      <c r="G38" s="28" t="n">
        <v>0</v>
      </c>
      <c r="H38" s="28" t="n">
        <v>12</v>
      </c>
      <c r="I38" s="47" t="n">
        <f aca="false">E38*F38*(1-G38/100)*(1+H38/100)</f>
        <v>7.84</v>
      </c>
      <c r="J38" s="28" t="s">
        <v>24</v>
      </c>
      <c r="K38" s="28" t="s">
        <v>97</v>
      </c>
      <c r="L38" s="46" t="s">
        <v>98</v>
      </c>
      <c r="M38" s="47" t="n">
        <f aca="false">F38*(1-G38/100)-2.2</f>
        <v>1.3</v>
      </c>
      <c r="N38" s="47" t="n">
        <f aca="false">M38*E38</f>
        <v>2.6</v>
      </c>
    </row>
    <row r="39" customFormat="false" ht="16.5" hidden="false" customHeight="true" outlineLevel="0" collapsed="false">
      <c r="A39" s="42" t="n">
        <v>45661</v>
      </c>
      <c r="B39" s="24" t="s">
        <v>137</v>
      </c>
      <c r="C39" s="43" t="s">
        <v>124</v>
      </c>
      <c r="D39" s="43" t="s">
        <v>96</v>
      </c>
      <c r="E39" s="24" t="n">
        <v>2</v>
      </c>
      <c r="F39" s="44" t="n">
        <v>4</v>
      </c>
      <c r="G39" s="24" t="n">
        <v>0</v>
      </c>
      <c r="H39" s="24" t="n">
        <v>12</v>
      </c>
      <c r="I39" s="44" t="n">
        <f aca="false">E39*F39*(1-G39/100)*(1+H39/100)</f>
        <v>8.96</v>
      </c>
      <c r="J39" s="24" t="s">
        <v>32</v>
      </c>
      <c r="K39" s="24" t="s">
        <v>82</v>
      </c>
      <c r="L39" s="43" t="s">
        <v>117</v>
      </c>
      <c r="M39" s="44" t="n">
        <f aca="false">F39*(1-G39/100)-1.8</f>
        <v>2.2</v>
      </c>
      <c r="N39" s="44" t="n">
        <f aca="false">M39*E39</f>
        <v>4.4</v>
      </c>
    </row>
    <row r="40" customFormat="false" ht="16.5" hidden="false" customHeight="true" outlineLevel="0" collapsed="false">
      <c r="A40" s="45" t="n">
        <v>45661</v>
      </c>
      <c r="B40" s="28" t="s">
        <v>138</v>
      </c>
      <c r="C40" s="46" t="s">
        <v>29</v>
      </c>
      <c r="D40" s="46" t="s">
        <v>104</v>
      </c>
      <c r="E40" s="28" t="n">
        <v>5</v>
      </c>
      <c r="F40" s="47" t="n">
        <v>2.5</v>
      </c>
      <c r="G40" s="28" t="n">
        <v>10</v>
      </c>
      <c r="H40" s="28" t="n">
        <v>12</v>
      </c>
      <c r="I40" s="47" t="n">
        <f aca="false">E40*F40*(1-G40/100)*(1+H40/100)</f>
        <v>12.6</v>
      </c>
      <c r="J40" s="28" t="s">
        <v>32</v>
      </c>
      <c r="K40" s="28" t="s">
        <v>82</v>
      </c>
      <c r="L40" s="46" t="s">
        <v>111</v>
      </c>
      <c r="M40" s="47" t="n">
        <f aca="false">F40*(1-G40/100)-1.1</f>
        <v>1.15</v>
      </c>
      <c r="N40" s="47" t="n">
        <f aca="false">M40*E40</f>
        <v>5.75</v>
      </c>
    </row>
    <row r="41" customFormat="false" ht="16.5" hidden="false" customHeight="true" outlineLevel="0" collapsed="false">
      <c r="A41" s="42" t="n">
        <v>45661</v>
      </c>
      <c r="B41" s="24" t="s">
        <v>139</v>
      </c>
      <c r="C41" s="43" t="s">
        <v>113</v>
      </c>
      <c r="D41" s="43" t="s">
        <v>96</v>
      </c>
      <c r="E41" s="24" t="n">
        <v>2</v>
      </c>
      <c r="F41" s="44" t="n">
        <v>6</v>
      </c>
      <c r="G41" s="24" t="n">
        <v>0</v>
      </c>
      <c r="H41" s="24" t="n">
        <v>12</v>
      </c>
      <c r="I41" s="44" t="n">
        <f aca="false">E41*F41*(1-G41/100)*(1+H41/100)</f>
        <v>13.44</v>
      </c>
      <c r="J41" s="24" t="s">
        <v>24</v>
      </c>
      <c r="K41" s="24" t="s">
        <v>85</v>
      </c>
      <c r="L41" s="43" t="s">
        <v>106</v>
      </c>
      <c r="M41" s="44" t="n">
        <f aca="false">F41*(1-G41/100)-2.8</f>
        <v>3.2</v>
      </c>
      <c r="N41" s="44" t="n">
        <f aca="false">M41*E41</f>
        <v>6.4</v>
      </c>
    </row>
    <row r="42" customFormat="false" ht="16.5" hidden="false" customHeight="true" outlineLevel="0" collapsed="false">
      <c r="A42" s="45" t="n">
        <v>45661</v>
      </c>
      <c r="B42" s="28" t="s">
        <v>140</v>
      </c>
      <c r="C42" s="46" t="s">
        <v>113</v>
      </c>
      <c r="D42" s="46" t="s">
        <v>96</v>
      </c>
      <c r="E42" s="28" t="n">
        <v>4</v>
      </c>
      <c r="F42" s="47" t="n">
        <v>6</v>
      </c>
      <c r="G42" s="28" t="n">
        <v>5</v>
      </c>
      <c r="H42" s="28" t="n">
        <v>12</v>
      </c>
      <c r="I42" s="47" t="n">
        <f aca="false">E42*F42*(1-G42/100)*(1+H42/100)</f>
        <v>25.536</v>
      </c>
      <c r="J42" s="28" t="s">
        <v>24</v>
      </c>
      <c r="K42" s="28" t="s">
        <v>101</v>
      </c>
      <c r="L42" s="46" t="s">
        <v>86</v>
      </c>
      <c r="M42" s="47" t="n">
        <f aca="false">F42*(1-G42/100)-2.8</f>
        <v>2.9</v>
      </c>
      <c r="N42" s="47" t="n">
        <f aca="false">M42*E42</f>
        <v>11.6</v>
      </c>
    </row>
    <row r="43" customFormat="false" ht="16.5" hidden="false" customHeight="true" outlineLevel="0" collapsed="false">
      <c r="A43" s="42" t="n">
        <v>45661</v>
      </c>
      <c r="B43" s="24" t="s">
        <v>141</v>
      </c>
      <c r="C43" s="43" t="s">
        <v>113</v>
      </c>
      <c r="D43" s="43" t="s">
        <v>96</v>
      </c>
      <c r="E43" s="24" t="n">
        <v>3</v>
      </c>
      <c r="F43" s="44" t="n">
        <v>6</v>
      </c>
      <c r="G43" s="24" t="n">
        <v>0</v>
      </c>
      <c r="H43" s="24" t="n">
        <v>12</v>
      </c>
      <c r="I43" s="44" t="n">
        <f aca="false">E43*F43*(1-G43/100)*(1+H43/100)</f>
        <v>20.16</v>
      </c>
      <c r="J43" s="24" t="s">
        <v>26</v>
      </c>
      <c r="K43" s="24" t="s">
        <v>82</v>
      </c>
      <c r="L43" s="43" t="s">
        <v>91</v>
      </c>
      <c r="M43" s="44" t="n">
        <f aca="false">F43*(1-G43/100)-2.8</f>
        <v>3.2</v>
      </c>
      <c r="N43" s="44" t="n">
        <f aca="false">M43*E43</f>
        <v>9.6</v>
      </c>
    </row>
    <row r="44" customFormat="false" ht="16.5" hidden="false" customHeight="true" outlineLevel="0" collapsed="false">
      <c r="A44" s="45" t="n">
        <v>45661</v>
      </c>
      <c r="B44" s="28" t="s">
        <v>142</v>
      </c>
      <c r="C44" s="46" t="s">
        <v>124</v>
      </c>
      <c r="D44" s="46" t="s">
        <v>96</v>
      </c>
      <c r="E44" s="28" t="n">
        <v>4</v>
      </c>
      <c r="F44" s="47" t="n">
        <v>4</v>
      </c>
      <c r="G44" s="28" t="n">
        <v>0</v>
      </c>
      <c r="H44" s="28" t="n">
        <v>12</v>
      </c>
      <c r="I44" s="47" t="n">
        <f aca="false">E44*F44*(1-G44/100)*(1+H44/100)</f>
        <v>17.92</v>
      </c>
      <c r="J44" s="28" t="s">
        <v>32</v>
      </c>
      <c r="K44" s="28" t="s">
        <v>82</v>
      </c>
      <c r="L44" s="46" t="s">
        <v>122</v>
      </c>
      <c r="M44" s="47" t="n">
        <f aca="false">F44*(1-G44/100)-1.8</f>
        <v>2.2</v>
      </c>
      <c r="N44" s="47" t="n">
        <f aca="false">M44*E44</f>
        <v>8.8</v>
      </c>
    </row>
    <row r="45" customFormat="false" ht="16.5" hidden="false" customHeight="true" outlineLevel="0" collapsed="false">
      <c r="A45" s="42" t="n">
        <v>45661</v>
      </c>
      <c r="B45" s="24" t="s">
        <v>143</v>
      </c>
      <c r="C45" s="43" t="s">
        <v>93</v>
      </c>
      <c r="D45" s="43" t="s">
        <v>81</v>
      </c>
      <c r="E45" s="24" t="n">
        <v>2</v>
      </c>
      <c r="F45" s="44" t="n">
        <v>3</v>
      </c>
      <c r="G45" s="24" t="n">
        <v>0</v>
      </c>
      <c r="H45" s="24" t="n">
        <v>12</v>
      </c>
      <c r="I45" s="44" t="n">
        <f aca="false">E45*F45*(1-G45/100)*(1+H45/100)</f>
        <v>6.72</v>
      </c>
      <c r="J45" s="24" t="s">
        <v>32</v>
      </c>
      <c r="K45" s="24" t="s">
        <v>88</v>
      </c>
      <c r="L45" s="43" t="s">
        <v>98</v>
      </c>
      <c r="M45" s="44" t="n">
        <f aca="false">F45*(1-G45/100)-1.5</f>
        <v>1.5</v>
      </c>
      <c r="N45" s="44" t="n">
        <f aca="false">M45*E45</f>
        <v>3</v>
      </c>
    </row>
    <row r="46" customFormat="false" ht="16.5" hidden="false" customHeight="true" outlineLevel="0" collapsed="false">
      <c r="A46" s="45" t="n">
        <v>45661</v>
      </c>
      <c r="B46" s="28" t="s">
        <v>144</v>
      </c>
      <c r="C46" s="46" t="s">
        <v>25</v>
      </c>
      <c r="D46" s="46" t="s">
        <v>81</v>
      </c>
      <c r="E46" s="28" t="n">
        <v>5</v>
      </c>
      <c r="F46" s="47" t="n">
        <v>3.5</v>
      </c>
      <c r="G46" s="28" t="n">
        <v>0</v>
      </c>
      <c r="H46" s="28" t="n">
        <v>12</v>
      </c>
      <c r="I46" s="47" t="n">
        <f aca="false">E46*F46*(1-G46/100)*(1+H46/100)</f>
        <v>19.6</v>
      </c>
      <c r="J46" s="28" t="s">
        <v>24</v>
      </c>
      <c r="K46" s="28" t="s">
        <v>82</v>
      </c>
      <c r="L46" s="46" t="s">
        <v>83</v>
      </c>
      <c r="M46" s="47" t="n">
        <f aca="false">F46*(1-G46/100)-2.2</f>
        <v>1.3</v>
      </c>
      <c r="N46" s="47" t="n">
        <f aca="false">M46*E46</f>
        <v>6.5</v>
      </c>
    </row>
    <row r="47" customFormat="false" ht="16.5" hidden="false" customHeight="true" outlineLevel="0" collapsed="false">
      <c r="A47" s="42" t="n">
        <v>45661</v>
      </c>
      <c r="B47" s="24" t="s">
        <v>145</v>
      </c>
      <c r="C47" s="43" t="s">
        <v>113</v>
      </c>
      <c r="D47" s="43" t="s">
        <v>96</v>
      </c>
      <c r="E47" s="24" t="n">
        <v>4</v>
      </c>
      <c r="F47" s="44" t="n">
        <v>6</v>
      </c>
      <c r="G47" s="24" t="n">
        <v>5</v>
      </c>
      <c r="H47" s="24" t="n">
        <v>12</v>
      </c>
      <c r="I47" s="44" t="n">
        <f aca="false">E47*F47*(1-G47/100)*(1+H47/100)</f>
        <v>25.536</v>
      </c>
      <c r="J47" s="24" t="s">
        <v>26</v>
      </c>
      <c r="K47" s="24" t="s">
        <v>85</v>
      </c>
      <c r="L47" s="43" t="s">
        <v>86</v>
      </c>
      <c r="M47" s="44" t="n">
        <f aca="false">F47*(1-G47/100)-2.8</f>
        <v>2.9</v>
      </c>
      <c r="N47" s="44" t="n">
        <f aca="false">M47*E47</f>
        <v>11.6</v>
      </c>
    </row>
    <row r="48" customFormat="false" ht="16.5" hidden="false" customHeight="true" outlineLevel="0" collapsed="false">
      <c r="A48" s="45" t="n">
        <v>45661</v>
      </c>
      <c r="B48" s="28" t="s">
        <v>146</v>
      </c>
      <c r="C48" s="46" t="s">
        <v>29</v>
      </c>
      <c r="D48" s="46" t="s">
        <v>104</v>
      </c>
      <c r="E48" s="28" t="n">
        <v>4</v>
      </c>
      <c r="F48" s="47" t="n">
        <v>2.5</v>
      </c>
      <c r="G48" s="28" t="n">
        <v>0</v>
      </c>
      <c r="H48" s="28" t="n">
        <v>12</v>
      </c>
      <c r="I48" s="47" t="n">
        <f aca="false">E48*F48*(1-G48/100)*(1+H48/100)</f>
        <v>11.2</v>
      </c>
      <c r="J48" s="28" t="s">
        <v>32</v>
      </c>
      <c r="K48" s="28" t="s">
        <v>97</v>
      </c>
      <c r="L48" s="46" t="s">
        <v>111</v>
      </c>
      <c r="M48" s="47" t="n">
        <f aca="false">F48*(1-G48/100)-1.1</f>
        <v>1.4</v>
      </c>
      <c r="N48" s="47" t="n">
        <f aca="false">M48*E48</f>
        <v>5.6</v>
      </c>
    </row>
    <row r="49" customFormat="false" ht="16.5" hidden="false" customHeight="true" outlineLevel="0" collapsed="false">
      <c r="A49" s="42" t="n">
        <v>45661</v>
      </c>
      <c r="B49" s="24" t="s">
        <v>147</v>
      </c>
      <c r="C49" s="43" t="s">
        <v>35</v>
      </c>
      <c r="D49" s="43" t="s">
        <v>81</v>
      </c>
      <c r="E49" s="24" t="n">
        <v>4</v>
      </c>
      <c r="F49" s="44" t="n">
        <v>1.5</v>
      </c>
      <c r="G49" s="24" t="n">
        <v>10</v>
      </c>
      <c r="H49" s="24" t="n">
        <v>12</v>
      </c>
      <c r="I49" s="44" t="n">
        <f aca="false">E49*F49*(1-G49/100)*(1+H49/100)</f>
        <v>6.048</v>
      </c>
      <c r="J49" s="24" t="s">
        <v>32</v>
      </c>
      <c r="K49" s="24" t="s">
        <v>82</v>
      </c>
      <c r="L49" s="43" t="s">
        <v>91</v>
      </c>
      <c r="M49" s="44" t="n">
        <f aca="false">F49*(1-G49/100)-0.6</f>
        <v>0.75</v>
      </c>
      <c r="N49" s="44" t="n">
        <f aca="false">M49*E49</f>
        <v>3</v>
      </c>
    </row>
    <row r="50" customFormat="false" ht="16.5" hidden="false" customHeight="true" outlineLevel="0" collapsed="false">
      <c r="A50" s="45" t="n">
        <v>45661</v>
      </c>
      <c r="B50" s="28" t="s">
        <v>148</v>
      </c>
      <c r="C50" s="46" t="s">
        <v>35</v>
      </c>
      <c r="D50" s="46" t="s">
        <v>81</v>
      </c>
      <c r="E50" s="28" t="n">
        <v>2</v>
      </c>
      <c r="F50" s="47" t="n">
        <v>1.5</v>
      </c>
      <c r="G50" s="28" t="n">
        <v>0</v>
      </c>
      <c r="H50" s="28" t="n">
        <v>12</v>
      </c>
      <c r="I50" s="47" t="n">
        <f aca="false">E50*F50*(1-G50/100)*(1+H50/100)</f>
        <v>3.36</v>
      </c>
      <c r="J50" s="28" t="s">
        <v>34</v>
      </c>
      <c r="K50" s="28" t="s">
        <v>88</v>
      </c>
      <c r="L50" s="46" t="s">
        <v>86</v>
      </c>
      <c r="M50" s="47" t="n">
        <f aca="false">F50*(1-G50/100)-0.6</f>
        <v>0.9</v>
      </c>
      <c r="N50" s="47" t="n">
        <f aca="false">M50*E50</f>
        <v>1.8</v>
      </c>
    </row>
    <row r="51" customFormat="false" ht="16.5" hidden="false" customHeight="true" outlineLevel="0" collapsed="false">
      <c r="A51" s="42" t="n">
        <v>45662</v>
      </c>
      <c r="B51" s="24" t="s">
        <v>149</v>
      </c>
      <c r="C51" s="43" t="s">
        <v>25</v>
      </c>
      <c r="D51" s="43" t="s">
        <v>81</v>
      </c>
      <c r="E51" s="24" t="n">
        <v>1</v>
      </c>
      <c r="F51" s="44" t="n">
        <v>3.5</v>
      </c>
      <c r="G51" s="24" t="n">
        <v>10</v>
      </c>
      <c r="H51" s="24" t="n">
        <v>12</v>
      </c>
      <c r="I51" s="44" t="n">
        <f aca="false">E51*F51*(1-G51/100)*(1+H51/100)</f>
        <v>3.528</v>
      </c>
      <c r="J51" s="24" t="s">
        <v>32</v>
      </c>
      <c r="K51" s="24" t="s">
        <v>88</v>
      </c>
      <c r="L51" s="43" t="s">
        <v>117</v>
      </c>
      <c r="M51" s="44" t="n">
        <f aca="false">F51*(1-G51/100)-2.2</f>
        <v>0.95</v>
      </c>
      <c r="N51" s="44" t="n">
        <f aca="false">M51*E51</f>
        <v>0.95</v>
      </c>
    </row>
    <row r="52" customFormat="false" ht="16.5" hidden="false" customHeight="true" outlineLevel="0" collapsed="false">
      <c r="A52" s="45" t="n">
        <v>45662</v>
      </c>
      <c r="B52" s="28" t="s">
        <v>150</v>
      </c>
      <c r="C52" s="46" t="s">
        <v>29</v>
      </c>
      <c r="D52" s="46" t="s">
        <v>104</v>
      </c>
      <c r="E52" s="28" t="n">
        <v>1</v>
      </c>
      <c r="F52" s="47" t="n">
        <v>2.5</v>
      </c>
      <c r="G52" s="28" t="n">
        <v>10</v>
      </c>
      <c r="H52" s="28" t="n">
        <v>12</v>
      </c>
      <c r="I52" s="47" t="n">
        <f aca="false">E52*F52*(1-G52/100)*(1+H52/100)</f>
        <v>2.52</v>
      </c>
      <c r="J52" s="28" t="s">
        <v>24</v>
      </c>
      <c r="K52" s="28" t="s">
        <v>82</v>
      </c>
      <c r="L52" s="46" t="s">
        <v>98</v>
      </c>
      <c r="M52" s="47" t="n">
        <f aca="false">F52*(1-G52/100)-1.1</f>
        <v>1.15</v>
      </c>
      <c r="N52" s="47" t="n">
        <f aca="false">M52*E52</f>
        <v>1.15</v>
      </c>
    </row>
    <row r="53" customFormat="false" ht="16.5" hidden="false" customHeight="true" outlineLevel="0" collapsed="false">
      <c r="A53" s="42" t="n">
        <v>45662</v>
      </c>
      <c r="B53" s="24" t="s">
        <v>151</v>
      </c>
      <c r="C53" s="43" t="s">
        <v>109</v>
      </c>
      <c r="D53" s="43" t="s">
        <v>110</v>
      </c>
      <c r="E53" s="24" t="n">
        <v>1</v>
      </c>
      <c r="F53" s="44" t="n">
        <v>3.5</v>
      </c>
      <c r="G53" s="24" t="n">
        <v>0</v>
      </c>
      <c r="H53" s="24" t="n">
        <v>12</v>
      </c>
      <c r="I53" s="44" t="n">
        <f aca="false">E53*F53*(1-G53/100)*(1+H53/100)</f>
        <v>3.92</v>
      </c>
      <c r="J53" s="24" t="s">
        <v>32</v>
      </c>
      <c r="K53" s="24" t="s">
        <v>101</v>
      </c>
      <c r="L53" s="43" t="s">
        <v>89</v>
      </c>
      <c r="M53" s="44" t="n">
        <f aca="false">F53*(1-G53/100)-1.4</f>
        <v>2.1</v>
      </c>
      <c r="N53" s="44" t="n">
        <f aca="false">M53*E53</f>
        <v>2.1</v>
      </c>
    </row>
    <row r="54" customFormat="false" ht="16.5" hidden="false" customHeight="true" outlineLevel="0" collapsed="false">
      <c r="A54" s="45" t="n">
        <v>45662</v>
      </c>
      <c r="B54" s="28" t="s">
        <v>152</v>
      </c>
      <c r="C54" s="46" t="s">
        <v>33</v>
      </c>
      <c r="D54" s="46" t="s">
        <v>104</v>
      </c>
      <c r="E54" s="28" t="n">
        <v>5</v>
      </c>
      <c r="F54" s="47" t="n">
        <v>5</v>
      </c>
      <c r="G54" s="28" t="n">
        <v>10</v>
      </c>
      <c r="H54" s="28" t="n">
        <v>12</v>
      </c>
      <c r="I54" s="47" t="n">
        <f aca="false">E54*F54*(1-G54/100)*(1+H54/100)</f>
        <v>25.2</v>
      </c>
      <c r="J54" s="28" t="s">
        <v>24</v>
      </c>
      <c r="K54" s="28" t="s">
        <v>88</v>
      </c>
      <c r="L54" s="46" t="s">
        <v>98</v>
      </c>
      <c r="M54" s="47" t="n">
        <f aca="false">F54*(1-G54/100)-2.5</f>
        <v>2</v>
      </c>
      <c r="N54" s="47" t="n">
        <f aca="false">M54*E54</f>
        <v>10</v>
      </c>
    </row>
    <row r="55" customFormat="false" ht="16.5" hidden="false" customHeight="true" outlineLevel="0" collapsed="false">
      <c r="A55" s="42" t="n">
        <v>45662</v>
      </c>
      <c r="B55" s="24" t="s">
        <v>153</v>
      </c>
      <c r="C55" s="43" t="s">
        <v>113</v>
      </c>
      <c r="D55" s="43" t="s">
        <v>96</v>
      </c>
      <c r="E55" s="24" t="n">
        <v>5</v>
      </c>
      <c r="F55" s="44" t="n">
        <v>6</v>
      </c>
      <c r="G55" s="24" t="n">
        <v>10</v>
      </c>
      <c r="H55" s="24" t="n">
        <v>12</v>
      </c>
      <c r="I55" s="44" t="n">
        <f aca="false">E55*F55*(1-G55/100)*(1+H55/100)</f>
        <v>30.24</v>
      </c>
      <c r="J55" s="24" t="s">
        <v>34</v>
      </c>
      <c r="K55" s="24" t="s">
        <v>97</v>
      </c>
      <c r="L55" s="43" t="s">
        <v>122</v>
      </c>
      <c r="M55" s="44" t="n">
        <f aca="false">F55*(1-G55/100)-2.8</f>
        <v>2.6</v>
      </c>
      <c r="N55" s="44" t="n">
        <f aca="false">M55*E55</f>
        <v>13</v>
      </c>
    </row>
    <row r="56" customFormat="false" ht="16.5" hidden="false" customHeight="true" outlineLevel="0" collapsed="false">
      <c r="A56" s="45" t="n">
        <v>45662</v>
      </c>
      <c r="B56" s="28" t="s">
        <v>154</v>
      </c>
      <c r="C56" s="46" t="s">
        <v>33</v>
      </c>
      <c r="D56" s="46" t="s">
        <v>104</v>
      </c>
      <c r="E56" s="28" t="n">
        <v>3</v>
      </c>
      <c r="F56" s="47" t="n">
        <v>5</v>
      </c>
      <c r="G56" s="28" t="n">
        <v>0</v>
      </c>
      <c r="H56" s="28" t="n">
        <v>12</v>
      </c>
      <c r="I56" s="47" t="n">
        <f aca="false">E56*F56*(1-G56/100)*(1+H56/100)</f>
        <v>16.8</v>
      </c>
      <c r="J56" s="28" t="s">
        <v>28</v>
      </c>
      <c r="K56" s="28" t="s">
        <v>85</v>
      </c>
      <c r="L56" s="46" t="s">
        <v>83</v>
      </c>
      <c r="M56" s="47" t="n">
        <f aca="false">F56*(1-G56/100)-2.5</f>
        <v>2.5</v>
      </c>
      <c r="N56" s="47" t="n">
        <f aca="false">M56*E56</f>
        <v>7.5</v>
      </c>
    </row>
    <row r="57" customFormat="false" ht="16.5" hidden="false" customHeight="true" outlineLevel="0" collapsed="false">
      <c r="A57" s="42" t="n">
        <v>45662</v>
      </c>
      <c r="B57" s="24" t="s">
        <v>155</v>
      </c>
      <c r="C57" s="43" t="s">
        <v>35</v>
      </c>
      <c r="D57" s="43" t="s">
        <v>81</v>
      </c>
      <c r="E57" s="24" t="n">
        <v>4</v>
      </c>
      <c r="F57" s="44" t="n">
        <v>1.5</v>
      </c>
      <c r="G57" s="24" t="n">
        <v>0</v>
      </c>
      <c r="H57" s="24" t="n">
        <v>12</v>
      </c>
      <c r="I57" s="44" t="n">
        <f aca="false">E57*F57*(1-G57/100)*(1+H57/100)</f>
        <v>6.72</v>
      </c>
      <c r="J57" s="24" t="s">
        <v>24</v>
      </c>
      <c r="K57" s="24" t="s">
        <v>101</v>
      </c>
      <c r="L57" s="43" t="s">
        <v>111</v>
      </c>
      <c r="M57" s="44" t="n">
        <f aca="false">F57*(1-G57/100)-0.6</f>
        <v>0.9</v>
      </c>
      <c r="N57" s="44" t="n">
        <f aca="false">M57*E57</f>
        <v>3.6</v>
      </c>
    </row>
    <row r="58" customFormat="false" ht="16.5" hidden="false" customHeight="true" outlineLevel="0" collapsed="false">
      <c r="A58" s="45" t="n">
        <v>45662</v>
      </c>
      <c r="B58" s="28" t="s">
        <v>156</v>
      </c>
      <c r="C58" s="46" t="s">
        <v>109</v>
      </c>
      <c r="D58" s="46" t="s">
        <v>110</v>
      </c>
      <c r="E58" s="28" t="n">
        <v>5</v>
      </c>
      <c r="F58" s="47" t="n">
        <v>3.5</v>
      </c>
      <c r="G58" s="28" t="n">
        <v>0</v>
      </c>
      <c r="H58" s="28" t="n">
        <v>12</v>
      </c>
      <c r="I58" s="47" t="n">
        <f aca="false">E58*F58*(1-G58/100)*(1+H58/100)</f>
        <v>19.6</v>
      </c>
      <c r="J58" s="28" t="s">
        <v>24</v>
      </c>
      <c r="K58" s="28" t="s">
        <v>88</v>
      </c>
      <c r="L58" s="46" t="s">
        <v>91</v>
      </c>
      <c r="M58" s="47" t="n">
        <f aca="false">F58*(1-G58/100)-1.4</f>
        <v>2.1</v>
      </c>
      <c r="N58" s="47" t="n">
        <f aca="false">M58*E58</f>
        <v>10.5</v>
      </c>
    </row>
    <row r="59" customFormat="false" ht="16.5" hidden="false" customHeight="true" outlineLevel="0" collapsed="false">
      <c r="A59" s="42" t="n">
        <v>45662</v>
      </c>
      <c r="B59" s="24" t="s">
        <v>157</v>
      </c>
      <c r="C59" s="43" t="s">
        <v>124</v>
      </c>
      <c r="D59" s="43" t="s">
        <v>96</v>
      </c>
      <c r="E59" s="24" t="n">
        <v>3</v>
      </c>
      <c r="F59" s="44" t="n">
        <v>4</v>
      </c>
      <c r="G59" s="24" t="n">
        <v>0</v>
      </c>
      <c r="H59" s="24" t="n">
        <v>12</v>
      </c>
      <c r="I59" s="44" t="n">
        <f aca="false">E59*F59*(1-G59/100)*(1+H59/100)</f>
        <v>13.44</v>
      </c>
      <c r="J59" s="24" t="s">
        <v>28</v>
      </c>
      <c r="K59" s="24" t="s">
        <v>101</v>
      </c>
      <c r="L59" s="43" t="s">
        <v>91</v>
      </c>
      <c r="M59" s="44" t="n">
        <f aca="false">F59*(1-G59/100)-1.8</f>
        <v>2.2</v>
      </c>
      <c r="N59" s="44" t="n">
        <f aca="false">M59*E59</f>
        <v>6.6</v>
      </c>
    </row>
    <row r="60" customFormat="false" ht="16.5" hidden="false" customHeight="true" outlineLevel="0" collapsed="false">
      <c r="A60" s="45" t="n">
        <v>45662</v>
      </c>
      <c r="B60" s="28" t="s">
        <v>158</v>
      </c>
      <c r="C60" s="46" t="s">
        <v>36</v>
      </c>
      <c r="D60" s="46" t="s">
        <v>96</v>
      </c>
      <c r="E60" s="28" t="n">
        <v>3</v>
      </c>
      <c r="F60" s="47" t="n">
        <v>8.5</v>
      </c>
      <c r="G60" s="28" t="n">
        <v>0</v>
      </c>
      <c r="H60" s="28" t="n">
        <v>12</v>
      </c>
      <c r="I60" s="47" t="n">
        <f aca="false">E60*F60*(1-G60/100)*(1+H60/100)</f>
        <v>28.56</v>
      </c>
      <c r="J60" s="28" t="s">
        <v>32</v>
      </c>
      <c r="K60" s="28" t="s">
        <v>88</v>
      </c>
      <c r="L60" s="46" t="s">
        <v>122</v>
      </c>
      <c r="M60" s="47" t="n">
        <f aca="false">F60*(1-G60/100)-4.2</f>
        <v>4.3</v>
      </c>
      <c r="N60" s="47" t="n">
        <f aca="false">M60*E60</f>
        <v>12.9</v>
      </c>
    </row>
    <row r="61" customFormat="false" ht="16.5" hidden="false" customHeight="true" outlineLevel="0" collapsed="false">
      <c r="A61" s="42" t="n">
        <v>45663</v>
      </c>
      <c r="B61" s="24" t="s">
        <v>159</v>
      </c>
      <c r="C61" s="43" t="s">
        <v>124</v>
      </c>
      <c r="D61" s="43" t="s">
        <v>96</v>
      </c>
      <c r="E61" s="24" t="n">
        <v>1</v>
      </c>
      <c r="F61" s="44" t="n">
        <v>4</v>
      </c>
      <c r="G61" s="24" t="n">
        <v>10</v>
      </c>
      <c r="H61" s="24" t="n">
        <v>12</v>
      </c>
      <c r="I61" s="44" t="n">
        <f aca="false">E61*F61*(1-G61/100)*(1+H61/100)</f>
        <v>4.032</v>
      </c>
      <c r="J61" s="24" t="s">
        <v>28</v>
      </c>
      <c r="K61" s="24" t="s">
        <v>101</v>
      </c>
      <c r="L61" s="43" t="s">
        <v>83</v>
      </c>
      <c r="M61" s="44" t="n">
        <f aca="false">F61*(1-G61/100)-1.8</f>
        <v>1.8</v>
      </c>
      <c r="N61" s="44" t="n">
        <f aca="false">M61*E61</f>
        <v>1.8</v>
      </c>
    </row>
    <row r="62" customFormat="false" ht="16.5" hidden="false" customHeight="true" outlineLevel="0" collapsed="false">
      <c r="A62" s="45" t="n">
        <v>45663</v>
      </c>
      <c r="B62" s="28" t="s">
        <v>160</v>
      </c>
      <c r="C62" s="46" t="s">
        <v>35</v>
      </c>
      <c r="D62" s="46" t="s">
        <v>81</v>
      </c>
      <c r="E62" s="28" t="n">
        <v>1</v>
      </c>
      <c r="F62" s="47" t="n">
        <v>1.5</v>
      </c>
      <c r="G62" s="28" t="n">
        <v>0</v>
      </c>
      <c r="H62" s="28" t="n">
        <v>12</v>
      </c>
      <c r="I62" s="47" t="n">
        <f aca="false">E62*F62*(1-G62/100)*(1+H62/100)</f>
        <v>1.68</v>
      </c>
      <c r="J62" s="28" t="s">
        <v>34</v>
      </c>
      <c r="K62" s="28" t="s">
        <v>82</v>
      </c>
      <c r="L62" s="46" t="s">
        <v>122</v>
      </c>
      <c r="M62" s="47" t="n">
        <f aca="false">F62*(1-G62/100)-0.6</f>
        <v>0.9</v>
      </c>
      <c r="N62" s="47" t="n">
        <f aca="false">M62*E62</f>
        <v>0.9</v>
      </c>
    </row>
    <row r="63" customFormat="false" ht="16.5" hidden="false" customHeight="true" outlineLevel="0" collapsed="false">
      <c r="A63" s="42" t="n">
        <v>45663</v>
      </c>
      <c r="B63" s="24" t="s">
        <v>161</v>
      </c>
      <c r="C63" s="43" t="s">
        <v>35</v>
      </c>
      <c r="D63" s="43" t="s">
        <v>81</v>
      </c>
      <c r="E63" s="24" t="n">
        <v>5</v>
      </c>
      <c r="F63" s="44" t="n">
        <v>1.5</v>
      </c>
      <c r="G63" s="24" t="n">
        <v>0</v>
      </c>
      <c r="H63" s="24" t="n">
        <v>12</v>
      </c>
      <c r="I63" s="44" t="n">
        <f aca="false">E63*F63*(1-G63/100)*(1+H63/100)</f>
        <v>8.4</v>
      </c>
      <c r="J63" s="24" t="s">
        <v>28</v>
      </c>
      <c r="K63" s="24" t="s">
        <v>82</v>
      </c>
      <c r="L63" s="43" t="s">
        <v>122</v>
      </c>
      <c r="M63" s="44" t="n">
        <f aca="false">F63*(1-G63/100)-0.6</f>
        <v>0.9</v>
      </c>
      <c r="N63" s="44" t="n">
        <f aca="false">M63*E63</f>
        <v>4.5</v>
      </c>
    </row>
    <row r="64" customFormat="false" ht="16.5" hidden="false" customHeight="true" outlineLevel="0" collapsed="false">
      <c r="A64" s="45" t="n">
        <v>45663</v>
      </c>
      <c r="B64" s="28" t="s">
        <v>162</v>
      </c>
      <c r="C64" s="46" t="s">
        <v>124</v>
      </c>
      <c r="D64" s="46" t="s">
        <v>96</v>
      </c>
      <c r="E64" s="28" t="n">
        <v>4</v>
      </c>
      <c r="F64" s="47" t="n">
        <v>4</v>
      </c>
      <c r="G64" s="28" t="n">
        <v>0</v>
      </c>
      <c r="H64" s="28" t="n">
        <v>12</v>
      </c>
      <c r="I64" s="47" t="n">
        <f aca="false">E64*F64*(1-G64/100)*(1+H64/100)</f>
        <v>17.92</v>
      </c>
      <c r="J64" s="28" t="s">
        <v>24</v>
      </c>
      <c r="K64" s="28" t="s">
        <v>101</v>
      </c>
      <c r="L64" s="46" t="s">
        <v>94</v>
      </c>
      <c r="M64" s="47" t="n">
        <f aca="false">F64*(1-G64/100)-1.8</f>
        <v>2.2</v>
      </c>
      <c r="N64" s="47" t="n">
        <f aca="false">M64*E64</f>
        <v>8.8</v>
      </c>
    </row>
    <row r="65" customFormat="false" ht="16.5" hidden="false" customHeight="true" outlineLevel="0" collapsed="false">
      <c r="A65" s="42" t="n">
        <v>45663</v>
      </c>
      <c r="B65" s="24" t="s">
        <v>163</v>
      </c>
      <c r="C65" s="43" t="s">
        <v>35</v>
      </c>
      <c r="D65" s="43" t="s">
        <v>81</v>
      </c>
      <c r="E65" s="24" t="n">
        <v>1</v>
      </c>
      <c r="F65" s="44" t="n">
        <v>1.5</v>
      </c>
      <c r="G65" s="24" t="n">
        <v>0</v>
      </c>
      <c r="H65" s="24" t="n">
        <v>12</v>
      </c>
      <c r="I65" s="44" t="n">
        <f aca="false">E65*F65*(1-G65/100)*(1+H65/100)</f>
        <v>1.68</v>
      </c>
      <c r="J65" s="24" t="s">
        <v>28</v>
      </c>
      <c r="K65" s="24" t="s">
        <v>82</v>
      </c>
      <c r="L65" s="43" t="s">
        <v>122</v>
      </c>
      <c r="M65" s="44" t="n">
        <f aca="false">F65*(1-G65/100)-0.6</f>
        <v>0.9</v>
      </c>
      <c r="N65" s="44" t="n">
        <f aca="false">M65*E65</f>
        <v>0.9</v>
      </c>
    </row>
    <row r="66" customFormat="false" ht="16.5" hidden="false" customHeight="true" outlineLevel="0" collapsed="false">
      <c r="A66" s="45" t="n">
        <v>45663</v>
      </c>
      <c r="B66" s="28" t="s">
        <v>164</v>
      </c>
      <c r="C66" s="46" t="s">
        <v>29</v>
      </c>
      <c r="D66" s="46" t="s">
        <v>104</v>
      </c>
      <c r="E66" s="28" t="n">
        <v>4</v>
      </c>
      <c r="F66" s="47" t="n">
        <v>2.5</v>
      </c>
      <c r="G66" s="28" t="n">
        <v>10</v>
      </c>
      <c r="H66" s="28" t="n">
        <v>12</v>
      </c>
      <c r="I66" s="47" t="n">
        <f aca="false">E66*F66*(1-G66/100)*(1+H66/100)</f>
        <v>10.08</v>
      </c>
      <c r="J66" s="28" t="s">
        <v>32</v>
      </c>
      <c r="K66" s="28" t="s">
        <v>88</v>
      </c>
      <c r="L66" s="46" t="s">
        <v>86</v>
      </c>
      <c r="M66" s="47" t="n">
        <f aca="false">F66*(1-G66/100)-1.1</f>
        <v>1.15</v>
      </c>
      <c r="N66" s="47" t="n">
        <f aca="false">M66*E66</f>
        <v>4.6</v>
      </c>
    </row>
    <row r="67" customFormat="false" ht="16.5" hidden="false" customHeight="true" outlineLevel="0" collapsed="false">
      <c r="A67" s="42" t="n">
        <v>45663</v>
      </c>
      <c r="B67" s="24" t="s">
        <v>165</v>
      </c>
      <c r="C67" s="43" t="s">
        <v>27</v>
      </c>
      <c r="D67" s="43" t="s">
        <v>81</v>
      </c>
      <c r="E67" s="24" t="n">
        <v>1</v>
      </c>
      <c r="F67" s="44" t="n">
        <v>4.5</v>
      </c>
      <c r="G67" s="24" t="n">
        <v>0</v>
      </c>
      <c r="H67" s="24" t="n">
        <v>12</v>
      </c>
      <c r="I67" s="44" t="n">
        <f aca="false">E67*F67*(1-G67/100)*(1+H67/100)</f>
        <v>5.04</v>
      </c>
      <c r="J67" s="24" t="s">
        <v>34</v>
      </c>
      <c r="K67" s="24" t="s">
        <v>101</v>
      </c>
      <c r="L67" s="43" t="s">
        <v>106</v>
      </c>
      <c r="M67" s="44" t="n">
        <f aca="false">F67*(1-G67/100)-2.8</f>
        <v>1.7</v>
      </c>
      <c r="N67" s="44" t="n">
        <f aca="false">M67*E67</f>
        <v>1.7</v>
      </c>
    </row>
    <row r="68" customFormat="false" ht="16.5" hidden="false" customHeight="true" outlineLevel="0" collapsed="false">
      <c r="A68" s="45" t="n">
        <v>45663</v>
      </c>
      <c r="B68" s="28" t="s">
        <v>166</v>
      </c>
      <c r="C68" s="46" t="s">
        <v>109</v>
      </c>
      <c r="D68" s="46" t="s">
        <v>110</v>
      </c>
      <c r="E68" s="28" t="n">
        <v>5</v>
      </c>
      <c r="F68" s="47" t="n">
        <v>3.5</v>
      </c>
      <c r="G68" s="28" t="n">
        <v>0</v>
      </c>
      <c r="H68" s="28" t="n">
        <v>12</v>
      </c>
      <c r="I68" s="47" t="n">
        <f aca="false">E68*F68*(1-G68/100)*(1+H68/100)</f>
        <v>19.6</v>
      </c>
      <c r="J68" s="28" t="s">
        <v>32</v>
      </c>
      <c r="K68" s="28" t="s">
        <v>82</v>
      </c>
      <c r="L68" s="46" t="s">
        <v>86</v>
      </c>
      <c r="M68" s="47" t="n">
        <f aca="false">F68*(1-G68/100)-1.4</f>
        <v>2.1</v>
      </c>
      <c r="N68" s="47" t="n">
        <f aca="false">M68*E68</f>
        <v>10.5</v>
      </c>
    </row>
    <row r="69" customFormat="false" ht="16.5" hidden="false" customHeight="true" outlineLevel="0" collapsed="false">
      <c r="A69" s="42" t="n">
        <v>45663</v>
      </c>
      <c r="B69" s="24" t="s">
        <v>167</v>
      </c>
      <c r="C69" s="43" t="s">
        <v>35</v>
      </c>
      <c r="D69" s="43" t="s">
        <v>81</v>
      </c>
      <c r="E69" s="24" t="n">
        <v>3</v>
      </c>
      <c r="F69" s="44" t="n">
        <v>1.5</v>
      </c>
      <c r="G69" s="24" t="n">
        <v>0</v>
      </c>
      <c r="H69" s="24" t="n">
        <v>12</v>
      </c>
      <c r="I69" s="44" t="n">
        <f aca="false">E69*F69*(1-G69/100)*(1+H69/100)</f>
        <v>5.04</v>
      </c>
      <c r="J69" s="24" t="s">
        <v>28</v>
      </c>
      <c r="K69" s="24" t="s">
        <v>82</v>
      </c>
      <c r="L69" s="43" t="s">
        <v>91</v>
      </c>
      <c r="M69" s="44" t="n">
        <f aca="false">F69*(1-G69/100)-0.6</f>
        <v>0.9</v>
      </c>
      <c r="N69" s="44" t="n">
        <f aca="false">M69*E69</f>
        <v>2.7</v>
      </c>
    </row>
    <row r="70" customFormat="false" ht="16.5" hidden="false" customHeight="true" outlineLevel="0" collapsed="false">
      <c r="A70" s="45" t="n">
        <v>45663</v>
      </c>
      <c r="B70" s="28" t="s">
        <v>168</v>
      </c>
      <c r="C70" s="46" t="s">
        <v>27</v>
      </c>
      <c r="D70" s="46" t="s">
        <v>81</v>
      </c>
      <c r="E70" s="28" t="n">
        <v>3</v>
      </c>
      <c r="F70" s="47" t="n">
        <v>4.5</v>
      </c>
      <c r="G70" s="28" t="n">
        <v>10</v>
      </c>
      <c r="H70" s="28" t="n">
        <v>12</v>
      </c>
      <c r="I70" s="47" t="n">
        <f aca="false">E70*F70*(1-G70/100)*(1+H70/100)</f>
        <v>13.608</v>
      </c>
      <c r="J70" s="28" t="s">
        <v>32</v>
      </c>
      <c r="K70" s="28" t="s">
        <v>88</v>
      </c>
      <c r="L70" s="46" t="s">
        <v>83</v>
      </c>
      <c r="M70" s="47" t="n">
        <f aca="false">F70*(1-G70/100)-2.8</f>
        <v>1.25</v>
      </c>
      <c r="N70" s="47" t="n">
        <f aca="false">M70*E70</f>
        <v>3.75</v>
      </c>
    </row>
    <row r="71" customFormat="false" ht="16.5" hidden="false" customHeight="true" outlineLevel="0" collapsed="false">
      <c r="A71" s="42" t="n">
        <v>45663</v>
      </c>
      <c r="B71" s="24" t="s">
        <v>169</v>
      </c>
      <c r="C71" s="43" t="s">
        <v>33</v>
      </c>
      <c r="D71" s="43" t="s">
        <v>104</v>
      </c>
      <c r="E71" s="24" t="n">
        <v>2</v>
      </c>
      <c r="F71" s="44" t="n">
        <v>5</v>
      </c>
      <c r="G71" s="24" t="n">
        <v>0</v>
      </c>
      <c r="H71" s="24" t="n">
        <v>12</v>
      </c>
      <c r="I71" s="44" t="n">
        <f aca="false">E71*F71*(1-G71/100)*(1+H71/100)</f>
        <v>11.2</v>
      </c>
      <c r="J71" s="24" t="s">
        <v>32</v>
      </c>
      <c r="K71" s="24" t="s">
        <v>101</v>
      </c>
      <c r="L71" s="43" t="s">
        <v>83</v>
      </c>
      <c r="M71" s="44" t="n">
        <f aca="false">F71*(1-G71/100)-2.5</f>
        <v>2.5</v>
      </c>
      <c r="N71" s="44" t="n">
        <f aca="false">M71*E71</f>
        <v>5</v>
      </c>
    </row>
    <row r="72" customFormat="false" ht="16.5" hidden="false" customHeight="true" outlineLevel="0" collapsed="false">
      <c r="A72" s="45" t="n">
        <v>45663</v>
      </c>
      <c r="B72" s="28" t="s">
        <v>170</v>
      </c>
      <c r="C72" s="46" t="s">
        <v>36</v>
      </c>
      <c r="D72" s="46" t="s">
        <v>96</v>
      </c>
      <c r="E72" s="28" t="n">
        <v>4</v>
      </c>
      <c r="F72" s="47" t="n">
        <v>8.5</v>
      </c>
      <c r="G72" s="28" t="n">
        <v>0</v>
      </c>
      <c r="H72" s="28" t="n">
        <v>12</v>
      </c>
      <c r="I72" s="47" t="n">
        <f aca="false">E72*F72*(1-G72/100)*(1+H72/100)</f>
        <v>38.08</v>
      </c>
      <c r="J72" s="28" t="s">
        <v>28</v>
      </c>
      <c r="K72" s="28" t="s">
        <v>82</v>
      </c>
      <c r="L72" s="46" t="s">
        <v>98</v>
      </c>
      <c r="M72" s="47" t="n">
        <f aca="false">F72*(1-G72/100)-4.2</f>
        <v>4.3</v>
      </c>
      <c r="N72" s="47" t="n">
        <f aca="false">M72*E72</f>
        <v>17.2</v>
      </c>
    </row>
    <row r="73" customFormat="false" ht="16.5" hidden="false" customHeight="true" outlineLevel="0" collapsed="false">
      <c r="A73" s="42" t="n">
        <v>45663</v>
      </c>
      <c r="B73" s="24" t="s">
        <v>171</v>
      </c>
      <c r="C73" s="43" t="s">
        <v>113</v>
      </c>
      <c r="D73" s="43" t="s">
        <v>96</v>
      </c>
      <c r="E73" s="24" t="n">
        <v>1</v>
      </c>
      <c r="F73" s="44" t="n">
        <v>6</v>
      </c>
      <c r="G73" s="24" t="n">
        <v>5</v>
      </c>
      <c r="H73" s="24" t="n">
        <v>12</v>
      </c>
      <c r="I73" s="44" t="n">
        <f aca="false">E73*F73*(1-G73/100)*(1+H73/100)</f>
        <v>6.384</v>
      </c>
      <c r="J73" s="24" t="s">
        <v>26</v>
      </c>
      <c r="K73" s="24" t="s">
        <v>82</v>
      </c>
      <c r="L73" s="43" t="s">
        <v>111</v>
      </c>
      <c r="M73" s="44" t="n">
        <f aca="false">F73*(1-G73/100)-2.8</f>
        <v>2.9</v>
      </c>
      <c r="N73" s="44" t="n">
        <f aca="false">M73*E73</f>
        <v>2.9</v>
      </c>
    </row>
    <row r="74" customFormat="false" ht="16.5" hidden="false" customHeight="true" outlineLevel="0" collapsed="false">
      <c r="A74" s="45" t="n">
        <v>45663</v>
      </c>
      <c r="B74" s="28" t="s">
        <v>172</v>
      </c>
      <c r="C74" s="46" t="s">
        <v>36</v>
      </c>
      <c r="D74" s="46" t="s">
        <v>96</v>
      </c>
      <c r="E74" s="28" t="n">
        <v>3</v>
      </c>
      <c r="F74" s="47" t="n">
        <v>8.5</v>
      </c>
      <c r="G74" s="28" t="n">
        <v>0</v>
      </c>
      <c r="H74" s="28" t="n">
        <v>12</v>
      </c>
      <c r="I74" s="47" t="n">
        <f aca="false">E74*F74*(1-G74/100)*(1+H74/100)</f>
        <v>28.56</v>
      </c>
      <c r="J74" s="28" t="s">
        <v>26</v>
      </c>
      <c r="K74" s="28" t="s">
        <v>101</v>
      </c>
      <c r="L74" s="46" t="s">
        <v>91</v>
      </c>
      <c r="M74" s="47" t="n">
        <f aca="false">F74*(1-G74/100)-4.2</f>
        <v>4.3</v>
      </c>
      <c r="N74" s="47" t="n">
        <f aca="false">M74*E74</f>
        <v>12.9</v>
      </c>
    </row>
    <row r="75" customFormat="false" ht="16.5" hidden="false" customHeight="true" outlineLevel="0" collapsed="false">
      <c r="A75" s="42" t="n">
        <v>45664</v>
      </c>
      <c r="B75" s="24" t="s">
        <v>173</v>
      </c>
      <c r="C75" s="43" t="s">
        <v>36</v>
      </c>
      <c r="D75" s="43" t="s">
        <v>96</v>
      </c>
      <c r="E75" s="24" t="n">
        <v>3</v>
      </c>
      <c r="F75" s="44" t="n">
        <v>8.5</v>
      </c>
      <c r="G75" s="24" t="n">
        <v>0</v>
      </c>
      <c r="H75" s="24" t="n">
        <v>12</v>
      </c>
      <c r="I75" s="44" t="n">
        <f aca="false">E75*F75*(1-G75/100)*(1+H75/100)</f>
        <v>28.56</v>
      </c>
      <c r="J75" s="24" t="s">
        <v>28</v>
      </c>
      <c r="K75" s="24" t="s">
        <v>97</v>
      </c>
      <c r="L75" s="43" t="s">
        <v>117</v>
      </c>
      <c r="M75" s="44" t="n">
        <f aca="false">F75*(1-G75/100)-4.2</f>
        <v>4.3</v>
      </c>
      <c r="N75" s="44" t="n">
        <f aca="false">M75*E75</f>
        <v>12.9</v>
      </c>
    </row>
    <row r="76" customFormat="false" ht="16.5" hidden="false" customHeight="true" outlineLevel="0" collapsed="false">
      <c r="A76" s="45" t="n">
        <v>45664</v>
      </c>
      <c r="B76" s="28" t="s">
        <v>174</v>
      </c>
      <c r="C76" s="46" t="s">
        <v>113</v>
      </c>
      <c r="D76" s="46" t="s">
        <v>96</v>
      </c>
      <c r="E76" s="28" t="n">
        <v>5</v>
      </c>
      <c r="F76" s="47" t="n">
        <v>6</v>
      </c>
      <c r="G76" s="28" t="n">
        <v>0</v>
      </c>
      <c r="H76" s="28" t="n">
        <v>12</v>
      </c>
      <c r="I76" s="47" t="n">
        <f aca="false">E76*F76*(1-G76/100)*(1+H76/100)</f>
        <v>33.6</v>
      </c>
      <c r="J76" s="28" t="s">
        <v>24</v>
      </c>
      <c r="K76" s="28" t="s">
        <v>101</v>
      </c>
      <c r="L76" s="46" t="s">
        <v>122</v>
      </c>
      <c r="M76" s="47" t="n">
        <f aca="false">F76*(1-G76/100)-2.8</f>
        <v>3.2</v>
      </c>
      <c r="N76" s="47" t="n">
        <f aca="false">M76*E76</f>
        <v>16</v>
      </c>
    </row>
    <row r="77" customFormat="false" ht="16.5" hidden="false" customHeight="true" outlineLevel="0" collapsed="false">
      <c r="A77" s="42" t="n">
        <v>45664</v>
      </c>
      <c r="B77" s="24" t="s">
        <v>175</v>
      </c>
      <c r="C77" s="43" t="s">
        <v>29</v>
      </c>
      <c r="D77" s="43" t="s">
        <v>104</v>
      </c>
      <c r="E77" s="24" t="n">
        <v>5</v>
      </c>
      <c r="F77" s="44" t="n">
        <v>2.5</v>
      </c>
      <c r="G77" s="24" t="n">
        <v>0</v>
      </c>
      <c r="H77" s="24" t="n">
        <v>12</v>
      </c>
      <c r="I77" s="44" t="n">
        <f aca="false">E77*F77*(1-G77/100)*(1+H77/100)</f>
        <v>14</v>
      </c>
      <c r="J77" s="24" t="s">
        <v>24</v>
      </c>
      <c r="K77" s="24" t="s">
        <v>101</v>
      </c>
      <c r="L77" s="43" t="s">
        <v>89</v>
      </c>
      <c r="M77" s="44" t="n">
        <f aca="false">F77*(1-G77/100)-1.1</f>
        <v>1.4</v>
      </c>
      <c r="N77" s="44" t="n">
        <f aca="false">M77*E77</f>
        <v>7</v>
      </c>
    </row>
    <row r="78" customFormat="false" ht="16.5" hidden="false" customHeight="true" outlineLevel="0" collapsed="false">
      <c r="A78" s="45" t="n">
        <v>45664</v>
      </c>
      <c r="B78" s="28" t="s">
        <v>176</v>
      </c>
      <c r="C78" s="46" t="s">
        <v>113</v>
      </c>
      <c r="D78" s="46" t="s">
        <v>96</v>
      </c>
      <c r="E78" s="28" t="n">
        <v>3</v>
      </c>
      <c r="F78" s="47" t="n">
        <v>6</v>
      </c>
      <c r="G78" s="28" t="n">
        <v>0</v>
      </c>
      <c r="H78" s="28" t="n">
        <v>12</v>
      </c>
      <c r="I78" s="47" t="n">
        <f aca="false">E78*F78*(1-G78/100)*(1+H78/100)</f>
        <v>20.16</v>
      </c>
      <c r="J78" s="28" t="s">
        <v>32</v>
      </c>
      <c r="K78" s="28" t="s">
        <v>88</v>
      </c>
      <c r="L78" s="46" t="s">
        <v>117</v>
      </c>
      <c r="M78" s="47" t="n">
        <f aca="false">F78*(1-G78/100)-2.8</f>
        <v>3.2</v>
      </c>
      <c r="N78" s="47" t="n">
        <f aca="false">M78*E78</f>
        <v>9.6</v>
      </c>
    </row>
    <row r="79" customFormat="false" ht="16.5" hidden="false" customHeight="true" outlineLevel="0" collapsed="false">
      <c r="A79" s="42" t="n">
        <v>45664</v>
      </c>
      <c r="B79" s="24" t="s">
        <v>177</v>
      </c>
      <c r="C79" s="43" t="s">
        <v>27</v>
      </c>
      <c r="D79" s="43" t="s">
        <v>81</v>
      </c>
      <c r="E79" s="24" t="n">
        <v>4</v>
      </c>
      <c r="F79" s="44" t="n">
        <v>4.5</v>
      </c>
      <c r="G79" s="24" t="n">
        <v>10</v>
      </c>
      <c r="H79" s="24" t="n">
        <v>12</v>
      </c>
      <c r="I79" s="44" t="n">
        <f aca="false">E79*F79*(1-G79/100)*(1+H79/100)</f>
        <v>18.144</v>
      </c>
      <c r="J79" s="24" t="s">
        <v>26</v>
      </c>
      <c r="K79" s="24" t="s">
        <v>97</v>
      </c>
      <c r="L79" s="43" t="s">
        <v>86</v>
      </c>
      <c r="M79" s="44" t="n">
        <f aca="false">F79*(1-G79/100)-2.8</f>
        <v>1.25</v>
      </c>
      <c r="N79" s="44" t="n">
        <f aca="false">M79*E79</f>
        <v>5</v>
      </c>
    </row>
    <row r="80" customFormat="false" ht="16.5" hidden="false" customHeight="true" outlineLevel="0" collapsed="false">
      <c r="A80" s="45" t="n">
        <v>45664</v>
      </c>
      <c r="B80" s="28" t="s">
        <v>178</v>
      </c>
      <c r="C80" s="46" t="s">
        <v>113</v>
      </c>
      <c r="D80" s="46" t="s">
        <v>96</v>
      </c>
      <c r="E80" s="28" t="n">
        <v>1</v>
      </c>
      <c r="F80" s="47" t="n">
        <v>6</v>
      </c>
      <c r="G80" s="28" t="n">
        <v>10</v>
      </c>
      <c r="H80" s="28" t="n">
        <v>12</v>
      </c>
      <c r="I80" s="47" t="n">
        <f aca="false">E80*F80*(1-G80/100)*(1+H80/100)</f>
        <v>6.048</v>
      </c>
      <c r="J80" s="28" t="s">
        <v>34</v>
      </c>
      <c r="K80" s="28" t="s">
        <v>82</v>
      </c>
      <c r="L80" s="46" t="s">
        <v>106</v>
      </c>
      <c r="M80" s="47" t="n">
        <f aca="false">F80*(1-G80/100)-2.8</f>
        <v>2.6</v>
      </c>
      <c r="N80" s="47" t="n">
        <f aca="false">M80*E80</f>
        <v>2.6</v>
      </c>
    </row>
    <row r="81" customFormat="false" ht="16.5" hidden="false" customHeight="true" outlineLevel="0" collapsed="false">
      <c r="A81" s="42" t="n">
        <v>45664</v>
      </c>
      <c r="B81" s="24" t="s">
        <v>179</v>
      </c>
      <c r="C81" s="43" t="s">
        <v>113</v>
      </c>
      <c r="D81" s="43" t="s">
        <v>96</v>
      </c>
      <c r="E81" s="24" t="n">
        <v>1</v>
      </c>
      <c r="F81" s="44" t="n">
        <v>6</v>
      </c>
      <c r="G81" s="24" t="n">
        <v>0</v>
      </c>
      <c r="H81" s="24" t="n">
        <v>12</v>
      </c>
      <c r="I81" s="44" t="n">
        <f aca="false">E81*F81*(1-G81/100)*(1+H81/100)</f>
        <v>6.72</v>
      </c>
      <c r="J81" s="24" t="s">
        <v>34</v>
      </c>
      <c r="K81" s="24" t="s">
        <v>97</v>
      </c>
      <c r="L81" s="43" t="s">
        <v>98</v>
      </c>
      <c r="M81" s="44" t="n">
        <f aca="false">F81*(1-G81/100)-2.8</f>
        <v>3.2</v>
      </c>
      <c r="N81" s="44" t="n">
        <f aca="false">M81*E81</f>
        <v>3.2</v>
      </c>
    </row>
    <row r="82" customFormat="false" ht="16.5" hidden="false" customHeight="true" outlineLevel="0" collapsed="false">
      <c r="A82" s="45" t="n">
        <v>45664</v>
      </c>
      <c r="B82" s="28" t="s">
        <v>180</v>
      </c>
      <c r="C82" s="46" t="s">
        <v>35</v>
      </c>
      <c r="D82" s="46" t="s">
        <v>81</v>
      </c>
      <c r="E82" s="28" t="n">
        <v>5</v>
      </c>
      <c r="F82" s="47" t="n">
        <v>1.5</v>
      </c>
      <c r="G82" s="28" t="n">
        <v>0</v>
      </c>
      <c r="H82" s="28" t="n">
        <v>12</v>
      </c>
      <c r="I82" s="47" t="n">
        <f aca="false">E82*F82*(1-G82/100)*(1+H82/100)</f>
        <v>8.4</v>
      </c>
      <c r="J82" s="28" t="s">
        <v>32</v>
      </c>
      <c r="K82" s="28" t="s">
        <v>97</v>
      </c>
      <c r="L82" s="46" t="s">
        <v>94</v>
      </c>
      <c r="M82" s="47" t="n">
        <f aca="false">F82*(1-G82/100)-0.6</f>
        <v>0.9</v>
      </c>
      <c r="N82" s="47" t="n">
        <f aca="false">M82*E82</f>
        <v>4.5</v>
      </c>
    </row>
    <row r="83" customFormat="false" ht="16.5" hidden="false" customHeight="true" outlineLevel="0" collapsed="false">
      <c r="A83" s="42" t="n">
        <v>45664</v>
      </c>
      <c r="B83" s="24" t="s">
        <v>181</v>
      </c>
      <c r="C83" s="43" t="s">
        <v>35</v>
      </c>
      <c r="D83" s="43" t="s">
        <v>81</v>
      </c>
      <c r="E83" s="24" t="n">
        <v>5</v>
      </c>
      <c r="F83" s="44" t="n">
        <v>1.5</v>
      </c>
      <c r="G83" s="24" t="n">
        <v>0</v>
      </c>
      <c r="H83" s="24" t="n">
        <v>12</v>
      </c>
      <c r="I83" s="44" t="n">
        <f aca="false">E83*F83*(1-G83/100)*(1+H83/100)</f>
        <v>8.4</v>
      </c>
      <c r="J83" s="24" t="s">
        <v>26</v>
      </c>
      <c r="K83" s="24" t="s">
        <v>85</v>
      </c>
      <c r="L83" s="43" t="s">
        <v>94</v>
      </c>
      <c r="M83" s="44" t="n">
        <f aca="false">F83*(1-G83/100)-0.6</f>
        <v>0.9</v>
      </c>
      <c r="N83" s="44" t="n">
        <f aca="false">M83*E83</f>
        <v>4.5</v>
      </c>
    </row>
    <row r="84" customFormat="false" ht="16.5" hidden="false" customHeight="true" outlineLevel="0" collapsed="false">
      <c r="A84" s="45" t="n">
        <v>45664</v>
      </c>
      <c r="B84" s="28" t="s">
        <v>182</v>
      </c>
      <c r="C84" s="46" t="s">
        <v>29</v>
      </c>
      <c r="D84" s="46" t="s">
        <v>104</v>
      </c>
      <c r="E84" s="28" t="n">
        <v>5</v>
      </c>
      <c r="F84" s="47" t="n">
        <v>2.5</v>
      </c>
      <c r="G84" s="28" t="n">
        <v>10</v>
      </c>
      <c r="H84" s="28" t="n">
        <v>12</v>
      </c>
      <c r="I84" s="47" t="n">
        <f aca="false">E84*F84*(1-G84/100)*(1+H84/100)</f>
        <v>12.6</v>
      </c>
      <c r="J84" s="28" t="s">
        <v>28</v>
      </c>
      <c r="K84" s="28" t="s">
        <v>85</v>
      </c>
      <c r="L84" s="46" t="s">
        <v>117</v>
      </c>
      <c r="M84" s="47" t="n">
        <f aca="false">F84*(1-G84/100)-1.1</f>
        <v>1.15</v>
      </c>
      <c r="N84" s="47" t="n">
        <f aca="false">M84*E84</f>
        <v>5.75</v>
      </c>
    </row>
    <row r="85" customFormat="false" ht="16.5" hidden="false" customHeight="true" outlineLevel="0" collapsed="false">
      <c r="A85" s="42" t="n">
        <v>45664</v>
      </c>
      <c r="B85" s="24" t="s">
        <v>183</v>
      </c>
      <c r="C85" s="43" t="s">
        <v>25</v>
      </c>
      <c r="D85" s="43" t="s">
        <v>81</v>
      </c>
      <c r="E85" s="24" t="n">
        <v>3</v>
      </c>
      <c r="F85" s="44" t="n">
        <v>3.5</v>
      </c>
      <c r="G85" s="24" t="n">
        <v>0</v>
      </c>
      <c r="H85" s="24" t="n">
        <v>12</v>
      </c>
      <c r="I85" s="44" t="n">
        <f aca="false">E85*F85*(1-G85/100)*(1+H85/100)</f>
        <v>11.76</v>
      </c>
      <c r="J85" s="24" t="s">
        <v>26</v>
      </c>
      <c r="K85" s="24" t="s">
        <v>85</v>
      </c>
      <c r="L85" s="43" t="s">
        <v>89</v>
      </c>
      <c r="M85" s="44" t="n">
        <f aca="false">F85*(1-G85/100)-2.2</f>
        <v>1.3</v>
      </c>
      <c r="N85" s="44" t="n">
        <f aca="false">M85*E85</f>
        <v>3.9</v>
      </c>
    </row>
    <row r="86" customFormat="false" ht="16.5" hidden="false" customHeight="true" outlineLevel="0" collapsed="false">
      <c r="A86" s="45" t="n">
        <v>45665</v>
      </c>
      <c r="B86" s="28" t="s">
        <v>184</v>
      </c>
      <c r="C86" s="46" t="s">
        <v>36</v>
      </c>
      <c r="D86" s="46" t="s">
        <v>96</v>
      </c>
      <c r="E86" s="28" t="n">
        <v>4</v>
      </c>
      <c r="F86" s="47" t="n">
        <v>8.5</v>
      </c>
      <c r="G86" s="28" t="n">
        <v>5</v>
      </c>
      <c r="H86" s="28" t="n">
        <v>12</v>
      </c>
      <c r="I86" s="47" t="n">
        <f aca="false">E86*F86*(1-G86/100)*(1+H86/100)</f>
        <v>36.176</v>
      </c>
      <c r="J86" s="28" t="s">
        <v>32</v>
      </c>
      <c r="K86" s="28" t="s">
        <v>82</v>
      </c>
      <c r="L86" s="46" t="s">
        <v>117</v>
      </c>
      <c r="M86" s="47" t="n">
        <f aca="false">F86*(1-G86/100)-4.2</f>
        <v>3.875</v>
      </c>
      <c r="N86" s="47" t="n">
        <f aca="false">M86*E86</f>
        <v>15.5</v>
      </c>
    </row>
    <row r="87" customFormat="false" ht="16.5" hidden="false" customHeight="true" outlineLevel="0" collapsed="false">
      <c r="A87" s="42" t="n">
        <v>45665</v>
      </c>
      <c r="B87" s="24" t="s">
        <v>185</v>
      </c>
      <c r="C87" s="43" t="s">
        <v>93</v>
      </c>
      <c r="D87" s="43" t="s">
        <v>81</v>
      </c>
      <c r="E87" s="24" t="n">
        <v>2</v>
      </c>
      <c r="F87" s="44" t="n">
        <v>3</v>
      </c>
      <c r="G87" s="24" t="n">
        <v>0</v>
      </c>
      <c r="H87" s="24" t="n">
        <v>12</v>
      </c>
      <c r="I87" s="44" t="n">
        <f aca="false">E87*F87*(1-G87/100)*(1+H87/100)</f>
        <v>6.72</v>
      </c>
      <c r="J87" s="24" t="s">
        <v>28</v>
      </c>
      <c r="K87" s="24" t="s">
        <v>88</v>
      </c>
      <c r="L87" s="43" t="s">
        <v>89</v>
      </c>
      <c r="M87" s="44" t="n">
        <f aca="false">F87*(1-G87/100)-1.5</f>
        <v>1.5</v>
      </c>
      <c r="N87" s="44" t="n">
        <f aca="false">M87*E87</f>
        <v>3</v>
      </c>
    </row>
    <row r="88" customFormat="false" ht="16.5" hidden="false" customHeight="true" outlineLevel="0" collapsed="false">
      <c r="A88" s="45" t="n">
        <v>45665</v>
      </c>
      <c r="B88" s="28" t="s">
        <v>186</v>
      </c>
      <c r="C88" s="46" t="s">
        <v>36</v>
      </c>
      <c r="D88" s="46" t="s">
        <v>96</v>
      </c>
      <c r="E88" s="28" t="n">
        <v>1</v>
      </c>
      <c r="F88" s="47" t="n">
        <v>8.5</v>
      </c>
      <c r="G88" s="28" t="n">
        <v>0</v>
      </c>
      <c r="H88" s="28" t="n">
        <v>12</v>
      </c>
      <c r="I88" s="47" t="n">
        <f aca="false">E88*F88*(1-G88/100)*(1+H88/100)</f>
        <v>9.52</v>
      </c>
      <c r="J88" s="28" t="s">
        <v>28</v>
      </c>
      <c r="K88" s="28" t="s">
        <v>82</v>
      </c>
      <c r="L88" s="46" t="s">
        <v>91</v>
      </c>
      <c r="M88" s="47" t="n">
        <f aca="false">F88*(1-G88/100)-4.2</f>
        <v>4.3</v>
      </c>
      <c r="N88" s="47" t="n">
        <f aca="false">M88*E88</f>
        <v>4.3</v>
      </c>
    </row>
    <row r="89" customFormat="false" ht="16.5" hidden="false" customHeight="true" outlineLevel="0" collapsed="false">
      <c r="A89" s="42" t="n">
        <v>45665</v>
      </c>
      <c r="B89" s="24" t="s">
        <v>187</v>
      </c>
      <c r="C89" s="43" t="s">
        <v>29</v>
      </c>
      <c r="D89" s="43" t="s">
        <v>104</v>
      </c>
      <c r="E89" s="24" t="n">
        <v>1</v>
      </c>
      <c r="F89" s="44" t="n">
        <v>2.5</v>
      </c>
      <c r="G89" s="24" t="n">
        <v>0</v>
      </c>
      <c r="H89" s="24" t="n">
        <v>12</v>
      </c>
      <c r="I89" s="44" t="n">
        <f aca="false">E89*F89*(1-G89/100)*(1+H89/100)</f>
        <v>2.8</v>
      </c>
      <c r="J89" s="24" t="s">
        <v>26</v>
      </c>
      <c r="K89" s="24" t="s">
        <v>85</v>
      </c>
      <c r="L89" s="43" t="s">
        <v>89</v>
      </c>
      <c r="M89" s="44" t="n">
        <f aca="false">F89*(1-G89/100)-1.1</f>
        <v>1.4</v>
      </c>
      <c r="N89" s="44" t="n">
        <f aca="false">M89*E89</f>
        <v>1.4</v>
      </c>
    </row>
    <row r="90" customFormat="false" ht="16.5" hidden="false" customHeight="true" outlineLevel="0" collapsed="false">
      <c r="A90" s="45" t="n">
        <v>45665</v>
      </c>
      <c r="B90" s="28" t="s">
        <v>188</v>
      </c>
      <c r="C90" s="46" t="s">
        <v>27</v>
      </c>
      <c r="D90" s="46" t="s">
        <v>81</v>
      </c>
      <c r="E90" s="28" t="n">
        <v>4</v>
      </c>
      <c r="F90" s="47" t="n">
        <v>4.5</v>
      </c>
      <c r="G90" s="28" t="n">
        <v>5</v>
      </c>
      <c r="H90" s="28" t="n">
        <v>12</v>
      </c>
      <c r="I90" s="47" t="n">
        <f aca="false">E90*F90*(1-G90/100)*(1+H90/100)</f>
        <v>19.152</v>
      </c>
      <c r="J90" s="28" t="s">
        <v>34</v>
      </c>
      <c r="K90" s="28" t="s">
        <v>82</v>
      </c>
      <c r="L90" s="46" t="s">
        <v>94</v>
      </c>
      <c r="M90" s="47" t="n">
        <f aca="false">F90*(1-G90/100)-2.8</f>
        <v>1.475</v>
      </c>
      <c r="N90" s="47" t="n">
        <f aca="false">M90*E90</f>
        <v>5.9</v>
      </c>
    </row>
    <row r="91" customFormat="false" ht="16.5" hidden="false" customHeight="true" outlineLevel="0" collapsed="false">
      <c r="A91" s="42" t="n">
        <v>45665</v>
      </c>
      <c r="B91" s="24" t="s">
        <v>189</v>
      </c>
      <c r="C91" s="43" t="s">
        <v>93</v>
      </c>
      <c r="D91" s="43" t="s">
        <v>81</v>
      </c>
      <c r="E91" s="24" t="n">
        <v>4</v>
      </c>
      <c r="F91" s="44" t="n">
        <v>3</v>
      </c>
      <c r="G91" s="24" t="n">
        <v>0</v>
      </c>
      <c r="H91" s="24" t="n">
        <v>12</v>
      </c>
      <c r="I91" s="44" t="n">
        <f aca="false">E91*F91*(1-G91/100)*(1+H91/100)</f>
        <v>13.44</v>
      </c>
      <c r="J91" s="24" t="s">
        <v>26</v>
      </c>
      <c r="K91" s="24" t="s">
        <v>101</v>
      </c>
      <c r="L91" s="43" t="s">
        <v>98</v>
      </c>
      <c r="M91" s="44" t="n">
        <f aca="false">F91*(1-G91/100)-1.5</f>
        <v>1.5</v>
      </c>
      <c r="N91" s="44" t="n">
        <f aca="false">M91*E91</f>
        <v>6</v>
      </c>
    </row>
    <row r="92" customFormat="false" ht="16.5" hidden="false" customHeight="true" outlineLevel="0" collapsed="false">
      <c r="A92" s="45" t="n">
        <v>45665</v>
      </c>
      <c r="B92" s="28" t="s">
        <v>190</v>
      </c>
      <c r="C92" s="46" t="s">
        <v>113</v>
      </c>
      <c r="D92" s="46" t="s">
        <v>96</v>
      </c>
      <c r="E92" s="28" t="n">
        <v>2</v>
      </c>
      <c r="F92" s="47" t="n">
        <v>6</v>
      </c>
      <c r="G92" s="28" t="n">
        <v>0</v>
      </c>
      <c r="H92" s="28" t="n">
        <v>12</v>
      </c>
      <c r="I92" s="47" t="n">
        <f aca="false">E92*F92*(1-G92/100)*(1+H92/100)</f>
        <v>13.44</v>
      </c>
      <c r="J92" s="28" t="s">
        <v>34</v>
      </c>
      <c r="K92" s="28" t="s">
        <v>85</v>
      </c>
      <c r="L92" s="46" t="s">
        <v>86</v>
      </c>
      <c r="M92" s="47" t="n">
        <f aca="false">F92*(1-G92/100)-2.8</f>
        <v>3.2</v>
      </c>
      <c r="N92" s="47" t="n">
        <f aca="false">M92*E92</f>
        <v>6.4</v>
      </c>
    </row>
    <row r="93" customFormat="false" ht="16.5" hidden="false" customHeight="true" outlineLevel="0" collapsed="false">
      <c r="A93" s="42" t="n">
        <v>45665</v>
      </c>
      <c r="B93" s="24" t="s">
        <v>191</v>
      </c>
      <c r="C93" s="43" t="s">
        <v>124</v>
      </c>
      <c r="D93" s="43" t="s">
        <v>96</v>
      </c>
      <c r="E93" s="24" t="n">
        <v>2</v>
      </c>
      <c r="F93" s="44" t="n">
        <v>4</v>
      </c>
      <c r="G93" s="24" t="n">
        <v>0</v>
      </c>
      <c r="H93" s="24" t="n">
        <v>12</v>
      </c>
      <c r="I93" s="44" t="n">
        <f aca="false">E93*F93*(1-G93/100)*(1+H93/100)</f>
        <v>8.96</v>
      </c>
      <c r="J93" s="24" t="s">
        <v>32</v>
      </c>
      <c r="K93" s="24" t="s">
        <v>82</v>
      </c>
      <c r="L93" s="43" t="s">
        <v>111</v>
      </c>
      <c r="M93" s="44" t="n">
        <f aca="false">F93*(1-G93/100)-1.8</f>
        <v>2.2</v>
      </c>
      <c r="N93" s="44" t="n">
        <f aca="false">M93*E93</f>
        <v>4.4</v>
      </c>
    </row>
    <row r="94" customFormat="false" ht="16.5" hidden="false" customHeight="true" outlineLevel="0" collapsed="false">
      <c r="A94" s="45" t="n">
        <v>45665</v>
      </c>
      <c r="B94" s="28" t="s">
        <v>192</v>
      </c>
      <c r="C94" s="46" t="s">
        <v>124</v>
      </c>
      <c r="D94" s="46" t="s">
        <v>96</v>
      </c>
      <c r="E94" s="28" t="n">
        <v>5</v>
      </c>
      <c r="F94" s="47" t="n">
        <v>4</v>
      </c>
      <c r="G94" s="28" t="n">
        <v>10</v>
      </c>
      <c r="H94" s="28" t="n">
        <v>12</v>
      </c>
      <c r="I94" s="47" t="n">
        <f aca="false">E94*F94*(1-G94/100)*(1+H94/100)</f>
        <v>20.16</v>
      </c>
      <c r="J94" s="28" t="s">
        <v>28</v>
      </c>
      <c r="K94" s="28" t="s">
        <v>85</v>
      </c>
      <c r="L94" s="46" t="s">
        <v>89</v>
      </c>
      <c r="M94" s="47" t="n">
        <f aca="false">F94*(1-G94/100)-1.8</f>
        <v>1.8</v>
      </c>
      <c r="N94" s="47" t="n">
        <f aca="false">M94*E94</f>
        <v>9</v>
      </c>
    </row>
    <row r="95" customFormat="false" ht="16.5" hidden="false" customHeight="true" outlineLevel="0" collapsed="false">
      <c r="A95" s="42" t="n">
        <v>45665</v>
      </c>
      <c r="B95" s="24" t="s">
        <v>193</v>
      </c>
      <c r="C95" s="43" t="s">
        <v>124</v>
      </c>
      <c r="D95" s="43" t="s">
        <v>96</v>
      </c>
      <c r="E95" s="24" t="n">
        <v>4</v>
      </c>
      <c r="F95" s="44" t="n">
        <v>4</v>
      </c>
      <c r="G95" s="24" t="n">
        <v>10</v>
      </c>
      <c r="H95" s="24" t="n">
        <v>12</v>
      </c>
      <c r="I95" s="44" t="n">
        <f aca="false">E95*F95*(1-G95/100)*(1+H95/100)</f>
        <v>16.128</v>
      </c>
      <c r="J95" s="24" t="s">
        <v>32</v>
      </c>
      <c r="K95" s="24" t="s">
        <v>82</v>
      </c>
      <c r="L95" s="43" t="s">
        <v>111</v>
      </c>
      <c r="M95" s="44" t="n">
        <f aca="false">F95*(1-G95/100)-1.8</f>
        <v>1.8</v>
      </c>
      <c r="N95" s="44" t="n">
        <f aca="false">M95*E95</f>
        <v>7.2</v>
      </c>
    </row>
    <row r="96" customFormat="false" ht="16.5" hidden="false" customHeight="true" outlineLevel="0" collapsed="false">
      <c r="A96" s="45" t="n">
        <v>45665</v>
      </c>
      <c r="B96" s="28" t="s">
        <v>194</v>
      </c>
      <c r="C96" s="46" t="s">
        <v>93</v>
      </c>
      <c r="D96" s="46" t="s">
        <v>81</v>
      </c>
      <c r="E96" s="28" t="n">
        <v>3</v>
      </c>
      <c r="F96" s="47" t="n">
        <v>3</v>
      </c>
      <c r="G96" s="28" t="n">
        <v>0</v>
      </c>
      <c r="H96" s="28" t="n">
        <v>12</v>
      </c>
      <c r="I96" s="47" t="n">
        <f aca="false">E96*F96*(1-G96/100)*(1+H96/100)</f>
        <v>10.08</v>
      </c>
      <c r="J96" s="28" t="s">
        <v>28</v>
      </c>
      <c r="K96" s="28" t="s">
        <v>88</v>
      </c>
      <c r="L96" s="46" t="s">
        <v>111</v>
      </c>
      <c r="M96" s="47" t="n">
        <f aca="false">F96*(1-G96/100)-1.5</f>
        <v>1.5</v>
      </c>
      <c r="N96" s="47" t="n">
        <f aca="false">M96*E96</f>
        <v>4.5</v>
      </c>
    </row>
    <row r="97" customFormat="false" ht="16.5" hidden="false" customHeight="true" outlineLevel="0" collapsed="false">
      <c r="A97" s="42" t="n">
        <v>45665</v>
      </c>
      <c r="B97" s="24" t="s">
        <v>195</v>
      </c>
      <c r="C97" s="43" t="s">
        <v>33</v>
      </c>
      <c r="D97" s="43" t="s">
        <v>104</v>
      </c>
      <c r="E97" s="24" t="n">
        <v>3</v>
      </c>
      <c r="F97" s="44" t="n">
        <v>5</v>
      </c>
      <c r="G97" s="24" t="n">
        <v>5</v>
      </c>
      <c r="H97" s="24" t="n">
        <v>12</v>
      </c>
      <c r="I97" s="44" t="n">
        <f aca="false">E97*F97*(1-G97/100)*(1+H97/100)</f>
        <v>15.96</v>
      </c>
      <c r="J97" s="24" t="s">
        <v>24</v>
      </c>
      <c r="K97" s="24" t="s">
        <v>97</v>
      </c>
      <c r="L97" s="43" t="s">
        <v>91</v>
      </c>
      <c r="M97" s="44" t="n">
        <f aca="false">F97*(1-G97/100)-2.5</f>
        <v>2.25</v>
      </c>
      <c r="N97" s="44" t="n">
        <f aca="false">M97*E97</f>
        <v>6.75</v>
      </c>
    </row>
    <row r="98" customFormat="false" ht="16.5" hidden="false" customHeight="true" outlineLevel="0" collapsed="false">
      <c r="A98" s="45" t="n">
        <v>45665</v>
      </c>
      <c r="B98" s="28" t="s">
        <v>196</v>
      </c>
      <c r="C98" s="46" t="s">
        <v>35</v>
      </c>
      <c r="D98" s="46" t="s">
        <v>81</v>
      </c>
      <c r="E98" s="28" t="n">
        <v>3</v>
      </c>
      <c r="F98" s="47" t="n">
        <v>1.5</v>
      </c>
      <c r="G98" s="28" t="n">
        <v>0</v>
      </c>
      <c r="H98" s="28" t="n">
        <v>12</v>
      </c>
      <c r="I98" s="47" t="n">
        <f aca="false">E98*F98*(1-G98/100)*(1+H98/100)</f>
        <v>5.04</v>
      </c>
      <c r="J98" s="28" t="s">
        <v>34</v>
      </c>
      <c r="K98" s="28" t="s">
        <v>101</v>
      </c>
      <c r="L98" s="46" t="s">
        <v>83</v>
      </c>
      <c r="M98" s="47" t="n">
        <f aca="false">F98*(1-G98/100)-0.6</f>
        <v>0.9</v>
      </c>
      <c r="N98" s="47" t="n">
        <f aca="false">M98*E98</f>
        <v>2.7</v>
      </c>
    </row>
    <row r="99" customFormat="false" ht="16.5" hidden="false" customHeight="true" outlineLevel="0" collapsed="false">
      <c r="A99" s="42" t="n">
        <v>45665</v>
      </c>
      <c r="B99" s="24" t="s">
        <v>197</v>
      </c>
      <c r="C99" s="43" t="s">
        <v>29</v>
      </c>
      <c r="D99" s="43" t="s">
        <v>104</v>
      </c>
      <c r="E99" s="24" t="n">
        <v>2</v>
      </c>
      <c r="F99" s="44" t="n">
        <v>2.5</v>
      </c>
      <c r="G99" s="24" t="n">
        <v>5</v>
      </c>
      <c r="H99" s="24" t="n">
        <v>12</v>
      </c>
      <c r="I99" s="44" t="n">
        <f aca="false">E99*F99*(1-G99/100)*(1+H99/100)</f>
        <v>5.32</v>
      </c>
      <c r="J99" s="24" t="s">
        <v>26</v>
      </c>
      <c r="K99" s="24" t="s">
        <v>82</v>
      </c>
      <c r="L99" s="43" t="s">
        <v>98</v>
      </c>
      <c r="M99" s="44" t="n">
        <f aca="false">F99*(1-G99/100)-1.1</f>
        <v>1.275</v>
      </c>
      <c r="N99" s="44" t="n">
        <f aca="false">M99*E99</f>
        <v>2.55</v>
      </c>
    </row>
    <row r="100" customFormat="false" ht="16.5" hidden="false" customHeight="true" outlineLevel="0" collapsed="false">
      <c r="A100" s="45" t="n">
        <v>45666</v>
      </c>
      <c r="B100" s="28" t="s">
        <v>198</v>
      </c>
      <c r="C100" s="46" t="s">
        <v>113</v>
      </c>
      <c r="D100" s="46" t="s">
        <v>96</v>
      </c>
      <c r="E100" s="28" t="n">
        <v>3</v>
      </c>
      <c r="F100" s="47" t="n">
        <v>6</v>
      </c>
      <c r="G100" s="28" t="n">
        <v>10</v>
      </c>
      <c r="H100" s="28" t="n">
        <v>12</v>
      </c>
      <c r="I100" s="47" t="n">
        <f aca="false">E100*F100*(1-G100/100)*(1+H100/100)</f>
        <v>18.144</v>
      </c>
      <c r="J100" s="28" t="s">
        <v>32</v>
      </c>
      <c r="K100" s="28" t="s">
        <v>85</v>
      </c>
      <c r="L100" s="46" t="s">
        <v>86</v>
      </c>
      <c r="M100" s="47" t="n">
        <f aca="false">F100*(1-G100/100)-2.8</f>
        <v>2.6</v>
      </c>
      <c r="N100" s="47" t="n">
        <f aca="false">M100*E100</f>
        <v>7.8</v>
      </c>
    </row>
    <row r="101" customFormat="false" ht="16.5" hidden="false" customHeight="true" outlineLevel="0" collapsed="false">
      <c r="A101" s="42" t="n">
        <v>45666</v>
      </c>
      <c r="B101" s="24" t="s">
        <v>199</v>
      </c>
      <c r="C101" s="43" t="s">
        <v>33</v>
      </c>
      <c r="D101" s="43" t="s">
        <v>104</v>
      </c>
      <c r="E101" s="24" t="n">
        <v>4</v>
      </c>
      <c r="F101" s="44" t="n">
        <v>5</v>
      </c>
      <c r="G101" s="24" t="n">
        <v>5</v>
      </c>
      <c r="H101" s="24" t="n">
        <v>12</v>
      </c>
      <c r="I101" s="44" t="n">
        <f aca="false">E101*F101*(1-G101/100)*(1+H101/100)</f>
        <v>21.28</v>
      </c>
      <c r="J101" s="24" t="s">
        <v>34</v>
      </c>
      <c r="K101" s="24" t="s">
        <v>101</v>
      </c>
      <c r="L101" s="43" t="s">
        <v>89</v>
      </c>
      <c r="M101" s="44" t="n">
        <f aca="false">F101*(1-G101/100)-2.5</f>
        <v>2.25</v>
      </c>
      <c r="N101" s="44" t="n">
        <f aca="false">M101*E101</f>
        <v>9</v>
      </c>
    </row>
    <row r="102" customFormat="false" ht="16.5" hidden="false" customHeight="true" outlineLevel="0" collapsed="false">
      <c r="A102" s="45" t="n">
        <v>45666</v>
      </c>
      <c r="B102" s="28" t="s">
        <v>200</v>
      </c>
      <c r="C102" s="46" t="s">
        <v>113</v>
      </c>
      <c r="D102" s="46" t="s">
        <v>96</v>
      </c>
      <c r="E102" s="28" t="n">
        <v>4</v>
      </c>
      <c r="F102" s="47" t="n">
        <v>6</v>
      </c>
      <c r="G102" s="28" t="n">
        <v>0</v>
      </c>
      <c r="H102" s="28" t="n">
        <v>12</v>
      </c>
      <c r="I102" s="47" t="n">
        <f aca="false">E102*F102*(1-G102/100)*(1+H102/100)</f>
        <v>26.88</v>
      </c>
      <c r="J102" s="28" t="s">
        <v>28</v>
      </c>
      <c r="K102" s="28" t="s">
        <v>97</v>
      </c>
      <c r="L102" s="46" t="s">
        <v>94</v>
      </c>
      <c r="M102" s="47" t="n">
        <f aca="false">F102*(1-G102/100)-2.8</f>
        <v>3.2</v>
      </c>
      <c r="N102" s="47" t="n">
        <f aca="false">M102*E102</f>
        <v>12.8</v>
      </c>
    </row>
    <row r="103" customFormat="false" ht="16.5" hidden="false" customHeight="true" outlineLevel="0" collapsed="false">
      <c r="A103" s="42" t="n">
        <v>45666</v>
      </c>
      <c r="B103" s="24" t="s">
        <v>201</v>
      </c>
      <c r="C103" s="43" t="s">
        <v>113</v>
      </c>
      <c r="D103" s="43" t="s">
        <v>96</v>
      </c>
      <c r="E103" s="24" t="n">
        <v>5</v>
      </c>
      <c r="F103" s="44" t="n">
        <v>6</v>
      </c>
      <c r="G103" s="24" t="n">
        <v>10</v>
      </c>
      <c r="H103" s="24" t="n">
        <v>12</v>
      </c>
      <c r="I103" s="44" t="n">
        <f aca="false">E103*F103*(1-G103/100)*(1+H103/100)</f>
        <v>30.24</v>
      </c>
      <c r="J103" s="24" t="s">
        <v>34</v>
      </c>
      <c r="K103" s="24" t="s">
        <v>82</v>
      </c>
      <c r="L103" s="43" t="s">
        <v>111</v>
      </c>
      <c r="M103" s="44" t="n">
        <f aca="false">F103*(1-G103/100)-2.8</f>
        <v>2.6</v>
      </c>
      <c r="N103" s="44" t="n">
        <f aca="false">M103*E103</f>
        <v>13</v>
      </c>
    </row>
    <row r="104" customFormat="false" ht="16.5" hidden="false" customHeight="true" outlineLevel="0" collapsed="false">
      <c r="A104" s="45" t="n">
        <v>45666</v>
      </c>
      <c r="B104" s="28" t="s">
        <v>202</v>
      </c>
      <c r="C104" s="46" t="s">
        <v>33</v>
      </c>
      <c r="D104" s="46" t="s">
        <v>104</v>
      </c>
      <c r="E104" s="28" t="n">
        <v>3</v>
      </c>
      <c r="F104" s="47" t="n">
        <v>5</v>
      </c>
      <c r="G104" s="28" t="n">
        <v>5</v>
      </c>
      <c r="H104" s="28" t="n">
        <v>12</v>
      </c>
      <c r="I104" s="47" t="n">
        <f aca="false">E104*F104*(1-G104/100)*(1+H104/100)</f>
        <v>15.96</v>
      </c>
      <c r="J104" s="28" t="s">
        <v>32</v>
      </c>
      <c r="K104" s="28" t="s">
        <v>101</v>
      </c>
      <c r="L104" s="46" t="s">
        <v>94</v>
      </c>
      <c r="M104" s="47" t="n">
        <f aca="false">F104*(1-G104/100)-2.5</f>
        <v>2.25</v>
      </c>
      <c r="N104" s="47" t="n">
        <f aca="false">M104*E104</f>
        <v>6.75</v>
      </c>
    </row>
    <row r="105" customFormat="false" ht="16.5" hidden="false" customHeight="true" outlineLevel="0" collapsed="false">
      <c r="A105" s="42" t="n">
        <v>45666</v>
      </c>
      <c r="B105" s="24" t="s">
        <v>203</v>
      </c>
      <c r="C105" s="43" t="s">
        <v>36</v>
      </c>
      <c r="D105" s="43" t="s">
        <v>96</v>
      </c>
      <c r="E105" s="24" t="n">
        <v>4</v>
      </c>
      <c r="F105" s="44" t="n">
        <v>8.5</v>
      </c>
      <c r="G105" s="24" t="n">
        <v>0</v>
      </c>
      <c r="H105" s="24" t="n">
        <v>12</v>
      </c>
      <c r="I105" s="44" t="n">
        <f aca="false">E105*F105*(1-G105/100)*(1+H105/100)</f>
        <v>38.08</v>
      </c>
      <c r="J105" s="24" t="s">
        <v>32</v>
      </c>
      <c r="K105" s="24" t="s">
        <v>82</v>
      </c>
      <c r="L105" s="43" t="s">
        <v>89</v>
      </c>
      <c r="M105" s="44" t="n">
        <f aca="false">F105*(1-G105/100)-4.2</f>
        <v>4.3</v>
      </c>
      <c r="N105" s="44" t="n">
        <f aca="false">M105*E105</f>
        <v>17.2</v>
      </c>
    </row>
    <row r="106" customFormat="false" ht="16.5" hidden="false" customHeight="true" outlineLevel="0" collapsed="false">
      <c r="A106" s="45" t="n">
        <v>45666</v>
      </c>
      <c r="B106" s="28" t="s">
        <v>204</v>
      </c>
      <c r="C106" s="46" t="s">
        <v>124</v>
      </c>
      <c r="D106" s="46" t="s">
        <v>96</v>
      </c>
      <c r="E106" s="28" t="n">
        <v>1</v>
      </c>
      <c r="F106" s="47" t="n">
        <v>4</v>
      </c>
      <c r="G106" s="28" t="n">
        <v>5</v>
      </c>
      <c r="H106" s="28" t="n">
        <v>12</v>
      </c>
      <c r="I106" s="47" t="n">
        <f aca="false">E106*F106*(1-G106/100)*(1+H106/100)</f>
        <v>4.256</v>
      </c>
      <c r="J106" s="28" t="s">
        <v>34</v>
      </c>
      <c r="K106" s="28" t="s">
        <v>88</v>
      </c>
      <c r="L106" s="46" t="s">
        <v>86</v>
      </c>
      <c r="M106" s="47" t="n">
        <f aca="false">F106*(1-G106/100)-1.8</f>
        <v>2</v>
      </c>
      <c r="N106" s="47" t="n">
        <f aca="false">M106*E106</f>
        <v>2</v>
      </c>
    </row>
    <row r="107" customFormat="false" ht="16.5" hidden="false" customHeight="true" outlineLevel="0" collapsed="false">
      <c r="A107" s="42" t="n">
        <v>45666</v>
      </c>
      <c r="B107" s="24" t="s">
        <v>205</v>
      </c>
      <c r="C107" s="43" t="s">
        <v>27</v>
      </c>
      <c r="D107" s="43" t="s">
        <v>81</v>
      </c>
      <c r="E107" s="24" t="n">
        <v>4</v>
      </c>
      <c r="F107" s="44" t="n">
        <v>4.5</v>
      </c>
      <c r="G107" s="24" t="n">
        <v>0</v>
      </c>
      <c r="H107" s="24" t="n">
        <v>12</v>
      </c>
      <c r="I107" s="44" t="n">
        <f aca="false">E107*F107*(1-G107/100)*(1+H107/100)</f>
        <v>20.16</v>
      </c>
      <c r="J107" s="24" t="s">
        <v>32</v>
      </c>
      <c r="K107" s="24" t="s">
        <v>82</v>
      </c>
      <c r="L107" s="43" t="s">
        <v>86</v>
      </c>
      <c r="M107" s="44" t="n">
        <f aca="false">F107*(1-G107/100)-2.8</f>
        <v>1.7</v>
      </c>
      <c r="N107" s="44" t="n">
        <f aca="false">M107*E107</f>
        <v>6.8</v>
      </c>
    </row>
    <row r="108" customFormat="false" ht="16.5" hidden="false" customHeight="true" outlineLevel="0" collapsed="false">
      <c r="A108" s="45" t="n">
        <v>45666</v>
      </c>
      <c r="B108" s="28" t="s">
        <v>206</v>
      </c>
      <c r="C108" s="46" t="s">
        <v>35</v>
      </c>
      <c r="D108" s="46" t="s">
        <v>81</v>
      </c>
      <c r="E108" s="28" t="n">
        <v>4</v>
      </c>
      <c r="F108" s="47" t="n">
        <v>1.5</v>
      </c>
      <c r="G108" s="28" t="n">
        <v>0</v>
      </c>
      <c r="H108" s="28" t="n">
        <v>12</v>
      </c>
      <c r="I108" s="47" t="n">
        <f aca="false">E108*F108*(1-G108/100)*(1+H108/100)</f>
        <v>6.72</v>
      </c>
      <c r="J108" s="28" t="s">
        <v>26</v>
      </c>
      <c r="K108" s="28" t="s">
        <v>85</v>
      </c>
      <c r="L108" s="46" t="s">
        <v>106</v>
      </c>
      <c r="M108" s="47" t="n">
        <f aca="false">F108*(1-G108/100)-0.6</f>
        <v>0.9</v>
      </c>
      <c r="N108" s="47" t="n">
        <f aca="false">M108*E108</f>
        <v>3.6</v>
      </c>
    </row>
    <row r="109" customFormat="false" ht="16.5" hidden="false" customHeight="true" outlineLevel="0" collapsed="false">
      <c r="A109" s="42" t="n">
        <v>45666</v>
      </c>
      <c r="B109" s="24" t="s">
        <v>207</v>
      </c>
      <c r="C109" s="43" t="s">
        <v>36</v>
      </c>
      <c r="D109" s="43" t="s">
        <v>96</v>
      </c>
      <c r="E109" s="24" t="n">
        <v>4</v>
      </c>
      <c r="F109" s="44" t="n">
        <v>8.5</v>
      </c>
      <c r="G109" s="24" t="n">
        <v>0</v>
      </c>
      <c r="H109" s="24" t="n">
        <v>12</v>
      </c>
      <c r="I109" s="44" t="n">
        <f aca="false">E109*F109*(1-G109/100)*(1+H109/100)</f>
        <v>38.08</v>
      </c>
      <c r="J109" s="24" t="s">
        <v>32</v>
      </c>
      <c r="K109" s="24" t="s">
        <v>97</v>
      </c>
      <c r="L109" s="43" t="s">
        <v>98</v>
      </c>
      <c r="M109" s="44" t="n">
        <f aca="false">F109*(1-G109/100)-4.2</f>
        <v>4.3</v>
      </c>
      <c r="N109" s="44" t="n">
        <f aca="false">M109*E109</f>
        <v>17.2</v>
      </c>
    </row>
    <row r="110" customFormat="false" ht="16.5" hidden="false" customHeight="true" outlineLevel="0" collapsed="false">
      <c r="A110" s="45" t="n">
        <v>45666</v>
      </c>
      <c r="B110" s="28" t="s">
        <v>208</v>
      </c>
      <c r="C110" s="46" t="s">
        <v>93</v>
      </c>
      <c r="D110" s="46" t="s">
        <v>81</v>
      </c>
      <c r="E110" s="28" t="n">
        <v>1</v>
      </c>
      <c r="F110" s="47" t="n">
        <v>3</v>
      </c>
      <c r="G110" s="28" t="n">
        <v>10</v>
      </c>
      <c r="H110" s="28" t="n">
        <v>12</v>
      </c>
      <c r="I110" s="47" t="n">
        <f aca="false">E110*F110*(1-G110/100)*(1+H110/100)</f>
        <v>3.024</v>
      </c>
      <c r="J110" s="28" t="s">
        <v>24</v>
      </c>
      <c r="K110" s="28" t="s">
        <v>97</v>
      </c>
      <c r="L110" s="46" t="s">
        <v>91</v>
      </c>
      <c r="M110" s="47" t="n">
        <f aca="false">F110*(1-G110/100)-1.5</f>
        <v>1.2</v>
      </c>
      <c r="N110" s="47" t="n">
        <f aca="false">M110*E110</f>
        <v>1.2</v>
      </c>
    </row>
    <row r="111" customFormat="false" ht="16.5" hidden="false" customHeight="true" outlineLevel="0" collapsed="false">
      <c r="A111" s="42" t="n">
        <v>45667</v>
      </c>
      <c r="B111" s="24" t="s">
        <v>209</v>
      </c>
      <c r="C111" s="43" t="s">
        <v>27</v>
      </c>
      <c r="D111" s="43" t="s">
        <v>81</v>
      </c>
      <c r="E111" s="24" t="n">
        <v>1</v>
      </c>
      <c r="F111" s="44" t="n">
        <v>4.5</v>
      </c>
      <c r="G111" s="24" t="n">
        <v>0</v>
      </c>
      <c r="H111" s="24" t="n">
        <v>12</v>
      </c>
      <c r="I111" s="44" t="n">
        <f aca="false">E111*F111*(1-G111/100)*(1+H111/100)</f>
        <v>5.04</v>
      </c>
      <c r="J111" s="24" t="s">
        <v>26</v>
      </c>
      <c r="K111" s="24" t="s">
        <v>82</v>
      </c>
      <c r="L111" s="43" t="s">
        <v>86</v>
      </c>
      <c r="M111" s="44" t="n">
        <f aca="false">F111*(1-G111/100)-2.8</f>
        <v>1.7</v>
      </c>
      <c r="N111" s="44" t="n">
        <f aca="false">M111*E111</f>
        <v>1.7</v>
      </c>
    </row>
    <row r="112" customFormat="false" ht="16.5" hidden="false" customHeight="true" outlineLevel="0" collapsed="false">
      <c r="A112" s="45" t="n">
        <v>45667</v>
      </c>
      <c r="B112" s="28" t="s">
        <v>210</v>
      </c>
      <c r="C112" s="46" t="s">
        <v>109</v>
      </c>
      <c r="D112" s="46" t="s">
        <v>110</v>
      </c>
      <c r="E112" s="28" t="n">
        <v>2</v>
      </c>
      <c r="F112" s="47" t="n">
        <v>3.5</v>
      </c>
      <c r="G112" s="28" t="n">
        <v>0</v>
      </c>
      <c r="H112" s="28" t="n">
        <v>12</v>
      </c>
      <c r="I112" s="47" t="n">
        <f aca="false">E112*F112*(1-G112/100)*(1+H112/100)</f>
        <v>7.84</v>
      </c>
      <c r="J112" s="28" t="s">
        <v>26</v>
      </c>
      <c r="K112" s="28" t="s">
        <v>85</v>
      </c>
      <c r="L112" s="46" t="s">
        <v>98</v>
      </c>
      <c r="M112" s="47" t="n">
        <f aca="false">F112*(1-G112/100)-1.4</f>
        <v>2.1</v>
      </c>
      <c r="N112" s="47" t="n">
        <f aca="false">M112*E112</f>
        <v>4.2</v>
      </c>
    </row>
    <row r="113" customFormat="false" ht="16.5" hidden="false" customHeight="true" outlineLevel="0" collapsed="false">
      <c r="A113" s="42" t="n">
        <v>45667</v>
      </c>
      <c r="B113" s="24" t="s">
        <v>211</v>
      </c>
      <c r="C113" s="43" t="s">
        <v>109</v>
      </c>
      <c r="D113" s="43" t="s">
        <v>110</v>
      </c>
      <c r="E113" s="24" t="n">
        <v>2</v>
      </c>
      <c r="F113" s="44" t="n">
        <v>3.5</v>
      </c>
      <c r="G113" s="24" t="n">
        <v>5</v>
      </c>
      <c r="H113" s="24" t="n">
        <v>12</v>
      </c>
      <c r="I113" s="44" t="n">
        <f aca="false">E113*F113*(1-G113/100)*(1+H113/100)</f>
        <v>7.448</v>
      </c>
      <c r="J113" s="24" t="s">
        <v>28</v>
      </c>
      <c r="K113" s="24" t="s">
        <v>97</v>
      </c>
      <c r="L113" s="43" t="s">
        <v>83</v>
      </c>
      <c r="M113" s="44" t="n">
        <f aca="false">F113*(1-G113/100)-1.4</f>
        <v>1.925</v>
      </c>
      <c r="N113" s="44" t="n">
        <f aca="false">M113*E113</f>
        <v>3.85</v>
      </c>
    </row>
    <row r="114" customFormat="false" ht="16.5" hidden="false" customHeight="true" outlineLevel="0" collapsed="false">
      <c r="A114" s="45" t="n">
        <v>45667</v>
      </c>
      <c r="B114" s="28" t="s">
        <v>212</v>
      </c>
      <c r="C114" s="46" t="s">
        <v>109</v>
      </c>
      <c r="D114" s="46" t="s">
        <v>110</v>
      </c>
      <c r="E114" s="28" t="n">
        <v>5</v>
      </c>
      <c r="F114" s="47" t="n">
        <v>3.5</v>
      </c>
      <c r="G114" s="28" t="n">
        <v>0</v>
      </c>
      <c r="H114" s="28" t="n">
        <v>12</v>
      </c>
      <c r="I114" s="47" t="n">
        <f aca="false">E114*F114*(1-G114/100)*(1+H114/100)</f>
        <v>19.6</v>
      </c>
      <c r="J114" s="28" t="s">
        <v>26</v>
      </c>
      <c r="K114" s="28" t="s">
        <v>97</v>
      </c>
      <c r="L114" s="46" t="s">
        <v>98</v>
      </c>
      <c r="M114" s="47" t="n">
        <f aca="false">F114*(1-G114/100)-1.4</f>
        <v>2.1</v>
      </c>
      <c r="N114" s="47" t="n">
        <f aca="false">M114*E114</f>
        <v>10.5</v>
      </c>
    </row>
    <row r="115" customFormat="false" ht="16.5" hidden="false" customHeight="true" outlineLevel="0" collapsed="false">
      <c r="A115" s="42" t="n">
        <v>45667</v>
      </c>
      <c r="B115" s="24" t="s">
        <v>213</v>
      </c>
      <c r="C115" s="43" t="s">
        <v>109</v>
      </c>
      <c r="D115" s="43" t="s">
        <v>110</v>
      </c>
      <c r="E115" s="24" t="n">
        <v>1</v>
      </c>
      <c r="F115" s="44" t="n">
        <v>3.5</v>
      </c>
      <c r="G115" s="24" t="n">
        <v>0</v>
      </c>
      <c r="H115" s="24" t="n">
        <v>12</v>
      </c>
      <c r="I115" s="44" t="n">
        <f aca="false">E115*F115*(1-G115/100)*(1+H115/100)</f>
        <v>3.92</v>
      </c>
      <c r="J115" s="24" t="s">
        <v>34</v>
      </c>
      <c r="K115" s="24" t="s">
        <v>85</v>
      </c>
      <c r="L115" s="43" t="s">
        <v>94</v>
      </c>
      <c r="M115" s="44" t="n">
        <f aca="false">F115*(1-G115/100)-1.4</f>
        <v>2.1</v>
      </c>
      <c r="N115" s="44" t="n">
        <f aca="false">M115*E115</f>
        <v>2.1</v>
      </c>
    </row>
    <row r="116" customFormat="false" ht="16.5" hidden="false" customHeight="true" outlineLevel="0" collapsed="false">
      <c r="A116" s="45" t="n">
        <v>45667</v>
      </c>
      <c r="B116" s="28" t="s">
        <v>214</v>
      </c>
      <c r="C116" s="46" t="s">
        <v>33</v>
      </c>
      <c r="D116" s="46" t="s">
        <v>104</v>
      </c>
      <c r="E116" s="28" t="n">
        <v>1</v>
      </c>
      <c r="F116" s="47" t="n">
        <v>5</v>
      </c>
      <c r="G116" s="28" t="n">
        <v>10</v>
      </c>
      <c r="H116" s="28" t="n">
        <v>12</v>
      </c>
      <c r="I116" s="47" t="n">
        <f aca="false">E116*F116*(1-G116/100)*(1+H116/100)</f>
        <v>5.04</v>
      </c>
      <c r="J116" s="28" t="s">
        <v>26</v>
      </c>
      <c r="K116" s="28" t="s">
        <v>101</v>
      </c>
      <c r="L116" s="46" t="s">
        <v>122</v>
      </c>
      <c r="M116" s="47" t="n">
        <f aca="false">F116*(1-G116/100)-2.5</f>
        <v>2</v>
      </c>
      <c r="N116" s="47" t="n">
        <f aca="false">M116*E116</f>
        <v>2</v>
      </c>
    </row>
    <row r="117" customFormat="false" ht="16.5" hidden="false" customHeight="true" outlineLevel="0" collapsed="false">
      <c r="A117" s="42" t="n">
        <v>45667</v>
      </c>
      <c r="B117" s="24" t="s">
        <v>215</v>
      </c>
      <c r="C117" s="43" t="s">
        <v>109</v>
      </c>
      <c r="D117" s="43" t="s">
        <v>110</v>
      </c>
      <c r="E117" s="24" t="n">
        <v>1</v>
      </c>
      <c r="F117" s="44" t="n">
        <v>3.5</v>
      </c>
      <c r="G117" s="24" t="n">
        <v>10</v>
      </c>
      <c r="H117" s="24" t="n">
        <v>12</v>
      </c>
      <c r="I117" s="44" t="n">
        <f aca="false">E117*F117*(1-G117/100)*(1+H117/100)</f>
        <v>3.528</v>
      </c>
      <c r="J117" s="24" t="s">
        <v>24</v>
      </c>
      <c r="K117" s="24" t="s">
        <v>97</v>
      </c>
      <c r="L117" s="43" t="s">
        <v>117</v>
      </c>
      <c r="M117" s="44" t="n">
        <f aca="false">F117*(1-G117/100)-1.4</f>
        <v>1.75</v>
      </c>
      <c r="N117" s="44" t="n">
        <f aca="false">M117*E117</f>
        <v>1.75</v>
      </c>
    </row>
    <row r="118" customFormat="false" ht="16.5" hidden="false" customHeight="true" outlineLevel="0" collapsed="false">
      <c r="A118" s="45" t="n">
        <v>45667</v>
      </c>
      <c r="B118" s="28" t="s">
        <v>216</v>
      </c>
      <c r="C118" s="46" t="s">
        <v>113</v>
      </c>
      <c r="D118" s="46" t="s">
        <v>96</v>
      </c>
      <c r="E118" s="28" t="n">
        <v>3</v>
      </c>
      <c r="F118" s="47" t="n">
        <v>6</v>
      </c>
      <c r="G118" s="28" t="n">
        <v>0</v>
      </c>
      <c r="H118" s="28" t="n">
        <v>12</v>
      </c>
      <c r="I118" s="47" t="n">
        <f aca="false">E118*F118*(1-G118/100)*(1+H118/100)</f>
        <v>20.16</v>
      </c>
      <c r="J118" s="28" t="s">
        <v>34</v>
      </c>
      <c r="K118" s="28" t="s">
        <v>97</v>
      </c>
      <c r="L118" s="46" t="s">
        <v>86</v>
      </c>
      <c r="M118" s="47" t="n">
        <f aca="false">F118*(1-G118/100)-2.8</f>
        <v>3.2</v>
      </c>
      <c r="N118" s="47" t="n">
        <f aca="false">M118*E118</f>
        <v>9.6</v>
      </c>
    </row>
    <row r="119" customFormat="false" ht="16.5" hidden="false" customHeight="true" outlineLevel="0" collapsed="false">
      <c r="A119" s="42" t="n">
        <v>45667</v>
      </c>
      <c r="B119" s="24" t="s">
        <v>217</v>
      </c>
      <c r="C119" s="43" t="s">
        <v>113</v>
      </c>
      <c r="D119" s="43" t="s">
        <v>96</v>
      </c>
      <c r="E119" s="24" t="n">
        <v>4</v>
      </c>
      <c r="F119" s="44" t="n">
        <v>6</v>
      </c>
      <c r="G119" s="24" t="n">
        <v>0</v>
      </c>
      <c r="H119" s="24" t="n">
        <v>12</v>
      </c>
      <c r="I119" s="44" t="n">
        <f aca="false">E119*F119*(1-G119/100)*(1+H119/100)</f>
        <v>26.88</v>
      </c>
      <c r="J119" s="24" t="s">
        <v>32</v>
      </c>
      <c r="K119" s="24" t="s">
        <v>97</v>
      </c>
      <c r="L119" s="43" t="s">
        <v>111</v>
      </c>
      <c r="M119" s="44" t="n">
        <f aca="false">F119*(1-G119/100)-2.8</f>
        <v>3.2</v>
      </c>
      <c r="N119" s="44" t="n">
        <f aca="false">M119*E119</f>
        <v>12.8</v>
      </c>
    </row>
    <row r="120" customFormat="false" ht="16.5" hidden="false" customHeight="true" outlineLevel="0" collapsed="false">
      <c r="A120" s="45" t="n">
        <v>45667</v>
      </c>
      <c r="B120" s="28" t="s">
        <v>218</v>
      </c>
      <c r="C120" s="46" t="s">
        <v>29</v>
      </c>
      <c r="D120" s="46" t="s">
        <v>104</v>
      </c>
      <c r="E120" s="28" t="n">
        <v>4</v>
      </c>
      <c r="F120" s="47" t="n">
        <v>2.5</v>
      </c>
      <c r="G120" s="28" t="n">
        <v>0</v>
      </c>
      <c r="H120" s="28" t="n">
        <v>12</v>
      </c>
      <c r="I120" s="47" t="n">
        <f aca="false">E120*F120*(1-G120/100)*(1+H120/100)</f>
        <v>11.2</v>
      </c>
      <c r="J120" s="28" t="s">
        <v>34</v>
      </c>
      <c r="K120" s="28" t="s">
        <v>97</v>
      </c>
      <c r="L120" s="46" t="s">
        <v>89</v>
      </c>
      <c r="M120" s="47" t="n">
        <f aca="false">F120*(1-G120/100)-1.1</f>
        <v>1.4</v>
      </c>
      <c r="N120" s="47" t="n">
        <f aca="false">M120*E120</f>
        <v>5.6</v>
      </c>
    </row>
    <row r="121" customFormat="false" ht="16.5" hidden="false" customHeight="true" outlineLevel="0" collapsed="false">
      <c r="A121" s="42" t="n">
        <v>45667</v>
      </c>
      <c r="B121" s="24" t="s">
        <v>219</v>
      </c>
      <c r="C121" s="43" t="s">
        <v>124</v>
      </c>
      <c r="D121" s="43" t="s">
        <v>96</v>
      </c>
      <c r="E121" s="24" t="n">
        <v>4</v>
      </c>
      <c r="F121" s="44" t="n">
        <v>4</v>
      </c>
      <c r="G121" s="24" t="n">
        <v>5</v>
      </c>
      <c r="H121" s="24" t="n">
        <v>12</v>
      </c>
      <c r="I121" s="44" t="n">
        <f aca="false">E121*F121*(1-G121/100)*(1+H121/100)</f>
        <v>17.024</v>
      </c>
      <c r="J121" s="24" t="s">
        <v>32</v>
      </c>
      <c r="K121" s="24" t="s">
        <v>88</v>
      </c>
      <c r="L121" s="43" t="s">
        <v>122</v>
      </c>
      <c r="M121" s="44" t="n">
        <f aca="false">F121*(1-G121/100)-1.8</f>
        <v>2</v>
      </c>
      <c r="N121" s="44" t="n">
        <f aca="false">M121*E121</f>
        <v>8</v>
      </c>
    </row>
    <row r="122" customFormat="false" ht="16.5" hidden="false" customHeight="true" outlineLevel="0" collapsed="false">
      <c r="A122" s="45" t="n">
        <v>45667</v>
      </c>
      <c r="B122" s="28" t="s">
        <v>220</v>
      </c>
      <c r="C122" s="46" t="s">
        <v>36</v>
      </c>
      <c r="D122" s="46" t="s">
        <v>96</v>
      </c>
      <c r="E122" s="28" t="n">
        <v>2</v>
      </c>
      <c r="F122" s="47" t="n">
        <v>8.5</v>
      </c>
      <c r="G122" s="28" t="n">
        <v>0</v>
      </c>
      <c r="H122" s="28" t="n">
        <v>12</v>
      </c>
      <c r="I122" s="47" t="n">
        <f aca="false">E122*F122*(1-G122/100)*(1+H122/100)</f>
        <v>19.04</v>
      </c>
      <c r="J122" s="28" t="s">
        <v>28</v>
      </c>
      <c r="K122" s="28" t="s">
        <v>85</v>
      </c>
      <c r="L122" s="46" t="s">
        <v>91</v>
      </c>
      <c r="M122" s="47" t="n">
        <f aca="false">F122*(1-G122/100)-4.2</f>
        <v>4.3</v>
      </c>
      <c r="N122" s="47" t="n">
        <f aca="false">M122*E122</f>
        <v>8.6</v>
      </c>
    </row>
    <row r="123" customFormat="false" ht="16.5" hidden="false" customHeight="true" outlineLevel="0" collapsed="false">
      <c r="A123" s="42" t="n">
        <v>45667</v>
      </c>
      <c r="B123" s="24" t="s">
        <v>221</v>
      </c>
      <c r="C123" s="43" t="s">
        <v>93</v>
      </c>
      <c r="D123" s="43" t="s">
        <v>81</v>
      </c>
      <c r="E123" s="24" t="n">
        <v>5</v>
      </c>
      <c r="F123" s="44" t="n">
        <v>3</v>
      </c>
      <c r="G123" s="24" t="n">
        <v>10</v>
      </c>
      <c r="H123" s="24" t="n">
        <v>12</v>
      </c>
      <c r="I123" s="44" t="n">
        <f aca="false">E123*F123*(1-G123/100)*(1+H123/100)</f>
        <v>15.12</v>
      </c>
      <c r="J123" s="24" t="s">
        <v>32</v>
      </c>
      <c r="K123" s="24" t="s">
        <v>97</v>
      </c>
      <c r="L123" s="43" t="s">
        <v>86</v>
      </c>
      <c r="M123" s="44" t="n">
        <f aca="false">F123*(1-G123/100)-1.5</f>
        <v>1.2</v>
      </c>
      <c r="N123" s="44" t="n">
        <f aca="false">M123*E123</f>
        <v>6</v>
      </c>
    </row>
    <row r="124" customFormat="false" ht="16.5" hidden="false" customHeight="true" outlineLevel="0" collapsed="false">
      <c r="A124" s="45" t="n">
        <v>45667</v>
      </c>
      <c r="B124" s="28" t="s">
        <v>222</v>
      </c>
      <c r="C124" s="46" t="s">
        <v>93</v>
      </c>
      <c r="D124" s="46" t="s">
        <v>81</v>
      </c>
      <c r="E124" s="28" t="n">
        <v>3</v>
      </c>
      <c r="F124" s="47" t="n">
        <v>3</v>
      </c>
      <c r="G124" s="28" t="n">
        <v>0</v>
      </c>
      <c r="H124" s="28" t="n">
        <v>12</v>
      </c>
      <c r="I124" s="47" t="n">
        <f aca="false">E124*F124*(1-G124/100)*(1+H124/100)</f>
        <v>10.08</v>
      </c>
      <c r="J124" s="28" t="s">
        <v>32</v>
      </c>
      <c r="K124" s="28" t="s">
        <v>82</v>
      </c>
      <c r="L124" s="46" t="s">
        <v>106</v>
      </c>
      <c r="M124" s="47" t="n">
        <f aca="false">F124*(1-G124/100)-1.5</f>
        <v>1.5</v>
      </c>
      <c r="N124" s="47" t="n">
        <f aca="false">M124*E124</f>
        <v>4.5</v>
      </c>
    </row>
    <row r="125" customFormat="false" ht="16.5" hidden="false" customHeight="true" outlineLevel="0" collapsed="false">
      <c r="A125" s="42" t="n">
        <v>45667</v>
      </c>
      <c r="B125" s="24" t="s">
        <v>223</v>
      </c>
      <c r="C125" s="43" t="s">
        <v>35</v>
      </c>
      <c r="D125" s="43" t="s">
        <v>81</v>
      </c>
      <c r="E125" s="24" t="n">
        <v>3</v>
      </c>
      <c r="F125" s="44" t="n">
        <v>1.5</v>
      </c>
      <c r="G125" s="24" t="n">
        <v>0</v>
      </c>
      <c r="H125" s="24" t="n">
        <v>12</v>
      </c>
      <c r="I125" s="44" t="n">
        <f aca="false">E125*F125*(1-G125/100)*(1+H125/100)</f>
        <v>5.04</v>
      </c>
      <c r="J125" s="24" t="s">
        <v>34</v>
      </c>
      <c r="K125" s="24" t="s">
        <v>97</v>
      </c>
      <c r="L125" s="43" t="s">
        <v>117</v>
      </c>
      <c r="M125" s="44" t="n">
        <f aca="false">F125*(1-G125/100)-0.6</f>
        <v>0.9</v>
      </c>
      <c r="N125" s="44" t="n">
        <f aca="false">M125*E125</f>
        <v>2.7</v>
      </c>
    </row>
    <row r="126" customFormat="false" ht="16.5" hidden="false" customHeight="true" outlineLevel="0" collapsed="false">
      <c r="A126" s="45" t="n">
        <v>45668</v>
      </c>
      <c r="B126" s="28" t="s">
        <v>224</v>
      </c>
      <c r="C126" s="46" t="s">
        <v>124</v>
      </c>
      <c r="D126" s="46" t="s">
        <v>96</v>
      </c>
      <c r="E126" s="28" t="n">
        <v>2</v>
      </c>
      <c r="F126" s="47" t="n">
        <v>4</v>
      </c>
      <c r="G126" s="28" t="n">
        <v>0</v>
      </c>
      <c r="H126" s="28" t="n">
        <v>12</v>
      </c>
      <c r="I126" s="47" t="n">
        <f aca="false">E126*F126*(1-G126/100)*(1+H126/100)</f>
        <v>8.96</v>
      </c>
      <c r="J126" s="28" t="s">
        <v>26</v>
      </c>
      <c r="K126" s="28" t="s">
        <v>85</v>
      </c>
      <c r="L126" s="46" t="s">
        <v>111</v>
      </c>
      <c r="M126" s="47" t="n">
        <f aca="false">F126*(1-G126/100)-1.8</f>
        <v>2.2</v>
      </c>
      <c r="N126" s="47" t="n">
        <f aca="false">M126*E126</f>
        <v>4.4</v>
      </c>
    </row>
    <row r="127" customFormat="false" ht="16.5" hidden="false" customHeight="true" outlineLevel="0" collapsed="false">
      <c r="A127" s="42" t="n">
        <v>45668</v>
      </c>
      <c r="B127" s="24" t="s">
        <v>225</v>
      </c>
      <c r="C127" s="43" t="s">
        <v>124</v>
      </c>
      <c r="D127" s="43" t="s">
        <v>96</v>
      </c>
      <c r="E127" s="24" t="n">
        <v>2</v>
      </c>
      <c r="F127" s="44" t="n">
        <v>4</v>
      </c>
      <c r="G127" s="24" t="n">
        <v>5</v>
      </c>
      <c r="H127" s="24" t="n">
        <v>12</v>
      </c>
      <c r="I127" s="44" t="n">
        <f aca="false">E127*F127*(1-G127/100)*(1+H127/100)</f>
        <v>8.512</v>
      </c>
      <c r="J127" s="24" t="s">
        <v>32</v>
      </c>
      <c r="K127" s="24" t="s">
        <v>85</v>
      </c>
      <c r="L127" s="43" t="s">
        <v>86</v>
      </c>
      <c r="M127" s="44" t="n">
        <f aca="false">F127*(1-G127/100)-1.8</f>
        <v>2</v>
      </c>
      <c r="N127" s="44" t="n">
        <f aca="false">M127*E127</f>
        <v>4</v>
      </c>
    </row>
    <row r="128" customFormat="false" ht="16.5" hidden="false" customHeight="true" outlineLevel="0" collapsed="false">
      <c r="A128" s="45" t="n">
        <v>45668</v>
      </c>
      <c r="B128" s="28" t="s">
        <v>226</v>
      </c>
      <c r="C128" s="46" t="s">
        <v>27</v>
      </c>
      <c r="D128" s="46" t="s">
        <v>81</v>
      </c>
      <c r="E128" s="28" t="n">
        <v>3</v>
      </c>
      <c r="F128" s="47" t="n">
        <v>4.5</v>
      </c>
      <c r="G128" s="28" t="n">
        <v>0</v>
      </c>
      <c r="H128" s="28" t="n">
        <v>12</v>
      </c>
      <c r="I128" s="47" t="n">
        <f aca="false">E128*F128*(1-G128/100)*(1+H128/100)</f>
        <v>15.12</v>
      </c>
      <c r="J128" s="28" t="s">
        <v>32</v>
      </c>
      <c r="K128" s="28" t="s">
        <v>82</v>
      </c>
      <c r="L128" s="46" t="s">
        <v>122</v>
      </c>
      <c r="M128" s="47" t="n">
        <f aca="false">F128*(1-G128/100)-2.8</f>
        <v>1.7</v>
      </c>
      <c r="N128" s="47" t="n">
        <f aca="false">M128*E128</f>
        <v>5.1</v>
      </c>
    </row>
    <row r="129" customFormat="false" ht="16.5" hidden="false" customHeight="true" outlineLevel="0" collapsed="false">
      <c r="A129" s="42" t="n">
        <v>45668</v>
      </c>
      <c r="B129" s="24" t="s">
        <v>227</v>
      </c>
      <c r="C129" s="43" t="s">
        <v>109</v>
      </c>
      <c r="D129" s="43" t="s">
        <v>110</v>
      </c>
      <c r="E129" s="24" t="n">
        <v>3</v>
      </c>
      <c r="F129" s="44" t="n">
        <v>3.5</v>
      </c>
      <c r="G129" s="24" t="n">
        <v>5</v>
      </c>
      <c r="H129" s="24" t="n">
        <v>12</v>
      </c>
      <c r="I129" s="44" t="n">
        <f aca="false">E129*F129*(1-G129/100)*(1+H129/100)</f>
        <v>11.172</v>
      </c>
      <c r="J129" s="24" t="s">
        <v>34</v>
      </c>
      <c r="K129" s="24" t="s">
        <v>88</v>
      </c>
      <c r="L129" s="43" t="s">
        <v>106</v>
      </c>
      <c r="M129" s="44" t="n">
        <f aca="false">F129*(1-G129/100)-1.4</f>
        <v>1.925</v>
      </c>
      <c r="N129" s="44" t="n">
        <f aca="false">M129*E129</f>
        <v>5.775</v>
      </c>
    </row>
    <row r="130" customFormat="false" ht="16.5" hidden="false" customHeight="true" outlineLevel="0" collapsed="false">
      <c r="A130" s="45" t="n">
        <v>45668</v>
      </c>
      <c r="B130" s="28" t="s">
        <v>228</v>
      </c>
      <c r="C130" s="46" t="s">
        <v>113</v>
      </c>
      <c r="D130" s="46" t="s">
        <v>96</v>
      </c>
      <c r="E130" s="28" t="n">
        <v>5</v>
      </c>
      <c r="F130" s="47" t="n">
        <v>6</v>
      </c>
      <c r="G130" s="28" t="n">
        <v>0</v>
      </c>
      <c r="H130" s="28" t="n">
        <v>12</v>
      </c>
      <c r="I130" s="47" t="n">
        <f aca="false">E130*F130*(1-G130/100)*(1+H130/100)</f>
        <v>33.6</v>
      </c>
      <c r="J130" s="28" t="s">
        <v>28</v>
      </c>
      <c r="K130" s="28" t="s">
        <v>85</v>
      </c>
      <c r="L130" s="46" t="s">
        <v>122</v>
      </c>
      <c r="M130" s="47" t="n">
        <f aca="false">F130*(1-G130/100)-2.8</f>
        <v>3.2</v>
      </c>
      <c r="N130" s="47" t="n">
        <f aca="false">M130*E130</f>
        <v>16</v>
      </c>
    </row>
    <row r="131" customFormat="false" ht="16.5" hidden="false" customHeight="true" outlineLevel="0" collapsed="false">
      <c r="A131" s="42" t="n">
        <v>45669</v>
      </c>
      <c r="B131" s="24" t="s">
        <v>229</v>
      </c>
      <c r="C131" s="43" t="s">
        <v>35</v>
      </c>
      <c r="D131" s="43" t="s">
        <v>81</v>
      </c>
      <c r="E131" s="24" t="n">
        <v>2</v>
      </c>
      <c r="F131" s="44" t="n">
        <v>1.5</v>
      </c>
      <c r="G131" s="24" t="n">
        <v>0</v>
      </c>
      <c r="H131" s="24" t="n">
        <v>12</v>
      </c>
      <c r="I131" s="44" t="n">
        <f aca="false">E131*F131*(1-G131/100)*(1+H131/100)</f>
        <v>3.36</v>
      </c>
      <c r="J131" s="24" t="s">
        <v>26</v>
      </c>
      <c r="K131" s="24" t="s">
        <v>97</v>
      </c>
      <c r="L131" s="43" t="s">
        <v>98</v>
      </c>
      <c r="M131" s="44" t="n">
        <f aca="false">F131*(1-G131/100)-0.6</f>
        <v>0.9</v>
      </c>
      <c r="N131" s="44" t="n">
        <f aca="false">M131*E131</f>
        <v>1.8</v>
      </c>
    </row>
    <row r="132" customFormat="false" ht="16.5" hidden="false" customHeight="true" outlineLevel="0" collapsed="false">
      <c r="A132" s="45" t="n">
        <v>45669</v>
      </c>
      <c r="B132" s="28" t="s">
        <v>230</v>
      </c>
      <c r="C132" s="46" t="s">
        <v>124</v>
      </c>
      <c r="D132" s="46" t="s">
        <v>96</v>
      </c>
      <c r="E132" s="28" t="n">
        <v>2</v>
      </c>
      <c r="F132" s="47" t="n">
        <v>4</v>
      </c>
      <c r="G132" s="28" t="n">
        <v>0</v>
      </c>
      <c r="H132" s="28" t="n">
        <v>12</v>
      </c>
      <c r="I132" s="47" t="n">
        <f aca="false">E132*F132*(1-G132/100)*(1+H132/100)</f>
        <v>8.96</v>
      </c>
      <c r="J132" s="28" t="s">
        <v>26</v>
      </c>
      <c r="K132" s="28" t="s">
        <v>85</v>
      </c>
      <c r="L132" s="46" t="s">
        <v>122</v>
      </c>
      <c r="M132" s="47" t="n">
        <f aca="false">F132*(1-G132/100)-1.8</f>
        <v>2.2</v>
      </c>
      <c r="N132" s="47" t="n">
        <f aca="false">M132*E132</f>
        <v>4.4</v>
      </c>
    </row>
    <row r="133" customFormat="false" ht="16.5" hidden="false" customHeight="true" outlineLevel="0" collapsed="false">
      <c r="A133" s="42" t="n">
        <v>45669</v>
      </c>
      <c r="B133" s="24" t="s">
        <v>231</v>
      </c>
      <c r="C133" s="43" t="s">
        <v>109</v>
      </c>
      <c r="D133" s="43" t="s">
        <v>110</v>
      </c>
      <c r="E133" s="24" t="n">
        <v>5</v>
      </c>
      <c r="F133" s="44" t="n">
        <v>3.5</v>
      </c>
      <c r="G133" s="24" t="n">
        <v>10</v>
      </c>
      <c r="H133" s="24" t="n">
        <v>12</v>
      </c>
      <c r="I133" s="44" t="n">
        <f aca="false">E133*F133*(1-G133/100)*(1+H133/100)</f>
        <v>17.64</v>
      </c>
      <c r="J133" s="24" t="s">
        <v>28</v>
      </c>
      <c r="K133" s="24" t="s">
        <v>101</v>
      </c>
      <c r="L133" s="43" t="s">
        <v>91</v>
      </c>
      <c r="M133" s="44" t="n">
        <f aca="false">F133*(1-G133/100)-1.4</f>
        <v>1.75</v>
      </c>
      <c r="N133" s="44" t="n">
        <f aca="false">M133*E133</f>
        <v>8.75</v>
      </c>
    </row>
    <row r="134" customFormat="false" ht="16.5" hidden="false" customHeight="true" outlineLevel="0" collapsed="false">
      <c r="A134" s="45" t="n">
        <v>45669</v>
      </c>
      <c r="B134" s="28" t="s">
        <v>232</v>
      </c>
      <c r="C134" s="46" t="s">
        <v>35</v>
      </c>
      <c r="D134" s="46" t="s">
        <v>81</v>
      </c>
      <c r="E134" s="28" t="n">
        <v>2</v>
      </c>
      <c r="F134" s="47" t="n">
        <v>1.5</v>
      </c>
      <c r="G134" s="28" t="n">
        <v>0</v>
      </c>
      <c r="H134" s="28" t="n">
        <v>12</v>
      </c>
      <c r="I134" s="47" t="n">
        <f aca="false">E134*F134*(1-G134/100)*(1+H134/100)</f>
        <v>3.36</v>
      </c>
      <c r="J134" s="28" t="s">
        <v>26</v>
      </c>
      <c r="K134" s="28" t="s">
        <v>97</v>
      </c>
      <c r="L134" s="46" t="s">
        <v>86</v>
      </c>
      <c r="M134" s="47" t="n">
        <f aca="false">F134*(1-G134/100)-0.6</f>
        <v>0.9</v>
      </c>
      <c r="N134" s="47" t="n">
        <f aca="false">M134*E134</f>
        <v>1.8</v>
      </c>
    </row>
    <row r="135" customFormat="false" ht="16.5" hidden="false" customHeight="true" outlineLevel="0" collapsed="false">
      <c r="A135" s="42" t="n">
        <v>45669</v>
      </c>
      <c r="B135" s="24" t="s">
        <v>233</v>
      </c>
      <c r="C135" s="43" t="s">
        <v>124</v>
      </c>
      <c r="D135" s="43" t="s">
        <v>96</v>
      </c>
      <c r="E135" s="24" t="n">
        <v>2</v>
      </c>
      <c r="F135" s="44" t="n">
        <v>4</v>
      </c>
      <c r="G135" s="24" t="n">
        <v>0</v>
      </c>
      <c r="H135" s="24" t="n">
        <v>12</v>
      </c>
      <c r="I135" s="44" t="n">
        <f aca="false">E135*F135*(1-G135/100)*(1+H135/100)</f>
        <v>8.96</v>
      </c>
      <c r="J135" s="24" t="s">
        <v>24</v>
      </c>
      <c r="K135" s="24" t="s">
        <v>101</v>
      </c>
      <c r="L135" s="43" t="s">
        <v>117</v>
      </c>
      <c r="M135" s="44" t="n">
        <f aca="false">F135*(1-G135/100)-1.8</f>
        <v>2.2</v>
      </c>
      <c r="N135" s="44" t="n">
        <f aca="false">M135*E135</f>
        <v>4.4</v>
      </c>
    </row>
    <row r="136" customFormat="false" ht="16.5" hidden="false" customHeight="true" outlineLevel="0" collapsed="false">
      <c r="A136" s="45" t="n">
        <v>45669</v>
      </c>
      <c r="B136" s="28" t="s">
        <v>234</v>
      </c>
      <c r="C136" s="46" t="s">
        <v>35</v>
      </c>
      <c r="D136" s="46" t="s">
        <v>81</v>
      </c>
      <c r="E136" s="28" t="n">
        <v>2</v>
      </c>
      <c r="F136" s="47" t="n">
        <v>1.5</v>
      </c>
      <c r="G136" s="28" t="n">
        <v>5</v>
      </c>
      <c r="H136" s="28" t="n">
        <v>12</v>
      </c>
      <c r="I136" s="47" t="n">
        <f aca="false">E136*F136*(1-G136/100)*(1+H136/100)</f>
        <v>3.192</v>
      </c>
      <c r="J136" s="28" t="s">
        <v>24</v>
      </c>
      <c r="K136" s="28" t="s">
        <v>101</v>
      </c>
      <c r="L136" s="46" t="s">
        <v>89</v>
      </c>
      <c r="M136" s="47" t="n">
        <f aca="false">F136*(1-G136/100)-0.6</f>
        <v>0.825</v>
      </c>
      <c r="N136" s="47" t="n">
        <f aca="false">M136*E136</f>
        <v>1.65</v>
      </c>
    </row>
    <row r="137" customFormat="false" ht="16.5" hidden="false" customHeight="true" outlineLevel="0" collapsed="false">
      <c r="A137" s="42" t="n">
        <v>45669</v>
      </c>
      <c r="B137" s="24" t="s">
        <v>235</v>
      </c>
      <c r="C137" s="43" t="s">
        <v>35</v>
      </c>
      <c r="D137" s="43" t="s">
        <v>81</v>
      </c>
      <c r="E137" s="24" t="n">
        <v>4</v>
      </c>
      <c r="F137" s="44" t="n">
        <v>1.5</v>
      </c>
      <c r="G137" s="24" t="n">
        <v>5</v>
      </c>
      <c r="H137" s="24" t="n">
        <v>12</v>
      </c>
      <c r="I137" s="44" t="n">
        <f aca="false">E137*F137*(1-G137/100)*(1+H137/100)</f>
        <v>6.384</v>
      </c>
      <c r="J137" s="24" t="s">
        <v>32</v>
      </c>
      <c r="K137" s="24" t="s">
        <v>97</v>
      </c>
      <c r="L137" s="43" t="s">
        <v>83</v>
      </c>
      <c r="M137" s="44" t="n">
        <f aca="false">F137*(1-G137/100)-0.6</f>
        <v>0.825</v>
      </c>
      <c r="N137" s="44" t="n">
        <f aca="false">M137*E137</f>
        <v>3.3</v>
      </c>
    </row>
    <row r="138" customFormat="false" ht="16.5" hidden="false" customHeight="true" outlineLevel="0" collapsed="false">
      <c r="A138" s="45" t="n">
        <v>45669</v>
      </c>
      <c r="B138" s="28" t="s">
        <v>236</v>
      </c>
      <c r="C138" s="46" t="s">
        <v>25</v>
      </c>
      <c r="D138" s="46" t="s">
        <v>81</v>
      </c>
      <c r="E138" s="28" t="n">
        <v>3</v>
      </c>
      <c r="F138" s="47" t="n">
        <v>3.5</v>
      </c>
      <c r="G138" s="28" t="n">
        <v>5</v>
      </c>
      <c r="H138" s="28" t="n">
        <v>12</v>
      </c>
      <c r="I138" s="47" t="n">
        <f aca="false">E138*F138*(1-G138/100)*(1+H138/100)</f>
        <v>11.172</v>
      </c>
      <c r="J138" s="28" t="s">
        <v>24</v>
      </c>
      <c r="K138" s="28" t="s">
        <v>101</v>
      </c>
      <c r="L138" s="46" t="s">
        <v>94</v>
      </c>
      <c r="M138" s="47" t="n">
        <f aca="false">F138*(1-G138/100)-2.2</f>
        <v>1.125</v>
      </c>
      <c r="N138" s="47" t="n">
        <f aca="false">M138*E138</f>
        <v>3.375</v>
      </c>
    </row>
    <row r="139" customFormat="false" ht="16.5" hidden="false" customHeight="true" outlineLevel="0" collapsed="false">
      <c r="A139" s="42" t="n">
        <v>45669</v>
      </c>
      <c r="B139" s="24" t="s">
        <v>237</v>
      </c>
      <c r="C139" s="43" t="s">
        <v>93</v>
      </c>
      <c r="D139" s="43" t="s">
        <v>81</v>
      </c>
      <c r="E139" s="24" t="n">
        <v>1</v>
      </c>
      <c r="F139" s="44" t="n">
        <v>3</v>
      </c>
      <c r="G139" s="24" t="n">
        <v>10</v>
      </c>
      <c r="H139" s="24" t="n">
        <v>12</v>
      </c>
      <c r="I139" s="44" t="n">
        <f aca="false">E139*F139*(1-G139/100)*(1+H139/100)</f>
        <v>3.024</v>
      </c>
      <c r="J139" s="24" t="s">
        <v>24</v>
      </c>
      <c r="K139" s="24" t="s">
        <v>82</v>
      </c>
      <c r="L139" s="43" t="s">
        <v>83</v>
      </c>
      <c r="M139" s="44" t="n">
        <f aca="false">F139*(1-G139/100)-1.5</f>
        <v>1.2</v>
      </c>
      <c r="N139" s="44" t="n">
        <f aca="false">M139*E139</f>
        <v>1.2</v>
      </c>
    </row>
    <row r="140" customFormat="false" ht="16.5" hidden="false" customHeight="true" outlineLevel="0" collapsed="false">
      <c r="A140" s="45" t="n">
        <v>45670</v>
      </c>
      <c r="B140" s="28" t="s">
        <v>238</v>
      </c>
      <c r="C140" s="46" t="s">
        <v>35</v>
      </c>
      <c r="D140" s="46" t="s">
        <v>81</v>
      </c>
      <c r="E140" s="28" t="n">
        <v>1</v>
      </c>
      <c r="F140" s="47" t="n">
        <v>1.5</v>
      </c>
      <c r="G140" s="28" t="n">
        <v>0</v>
      </c>
      <c r="H140" s="28" t="n">
        <v>12</v>
      </c>
      <c r="I140" s="47" t="n">
        <f aca="false">E140*F140*(1-G140/100)*(1+H140/100)</f>
        <v>1.68</v>
      </c>
      <c r="J140" s="28" t="s">
        <v>24</v>
      </c>
      <c r="K140" s="28" t="s">
        <v>88</v>
      </c>
      <c r="L140" s="46" t="s">
        <v>94</v>
      </c>
      <c r="M140" s="47" t="n">
        <f aca="false">F140*(1-G140/100)-0.6</f>
        <v>0.9</v>
      </c>
      <c r="N140" s="47" t="n">
        <f aca="false">M140*E140</f>
        <v>0.9</v>
      </c>
    </row>
    <row r="141" customFormat="false" ht="16.5" hidden="false" customHeight="true" outlineLevel="0" collapsed="false">
      <c r="A141" s="42" t="n">
        <v>45670</v>
      </c>
      <c r="B141" s="24" t="s">
        <v>239</v>
      </c>
      <c r="C141" s="43" t="s">
        <v>109</v>
      </c>
      <c r="D141" s="43" t="s">
        <v>110</v>
      </c>
      <c r="E141" s="24" t="n">
        <v>5</v>
      </c>
      <c r="F141" s="44" t="n">
        <v>3.5</v>
      </c>
      <c r="G141" s="24" t="n">
        <v>10</v>
      </c>
      <c r="H141" s="24" t="n">
        <v>12</v>
      </c>
      <c r="I141" s="44" t="n">
        <f aca="false">E141*F141*(1-G141/100)*(1+H141/100)</f>
        <v>17.64</v>
      </c>
      <c r="J141" s="24" t="s">
        <v>26</v>
      </c>
      <c r="K141" s="24" t="s">
        <v>88</v>
      </c>
      <c r="L141" s="43" t="s">
        <v>94</v>
      </c>
      <c r="M141" s="44" t="n">
        <f aca="false">F141*(1-G141/100)-1.4</f>
        <v>1.75</v>
      </c>
      <c r="N141" s="44" t="n">
        <f aca="false">M141*E141</f>
        <v>8.75</v>
      </c>
    </row>
    <row r="142" customFormat="false" ht="16.5" hidden="false" customHeight="true" outlineLevel="0" collapsed="false">
      <c r="A142" s="45" t="n">
        <v>45670</v>
      </c>
      <c r="B142" s="28" t="s">
        <v>240</v>
      </c>
      <c r="C142" s="46" t="s">
        <v>93</v>
      </c>
      <c r="D142" s="46" t="s">
        <v>81</v>
      </c>
      <c r="E142" s="28" t="n">
        <v>4</v>
      </c>
      <c r="F142" s="47" t="n">
        <v>3</v>
      </c>
      <c r="G142" s="28" t="n">
        <v>0</v>
      </c>
      <c r="H142" s="28" t="n">
        <v>12</v>
      </c>
      <c r="I142" s="47" t="n">
        <f aca="false">E142*F142*(1-G142/100)*(1+H142/100)</f>
        <v>13.44</v>
      </c>
      <c r="J142" s="28" t="s">
        <v>34</v>
      </c>
      <c r="K142" s="28" t="s">
        <v>85</v>
      </c>
      <c r="L142" s="46" t="s">
        <v>122</v>
      </c>
      <c r="M142" s="47" t="n">
        <f aca="false">F142*(1-G142/100)-1.5</f>
        <v>1.5</v>
      </c>
      <c r="N142" s="47" t="n">
        <f aca="false">M142*E142</f>
        <v>6</v>
      </c>
    </row>
    <row r="143" customFormat="false" ht="16.5" hidden="false" customHeight="true" outlineLevel="0" collapsed="false">
      <c r="A143" s="42" t="n">
        <v>45670</v>
      </c>
      <c r="B143" s="24" t="s">
        <v>241</v>
      </c>
      <c r="C143" s="43" t="s">
        <v>109</v>
      </c>
      <c r="D143" s="43" t="s">
        <v>110</v>
      </c>
      <c r="E143" s="24" t="n">
        <v>5</v>
      </c>
      <c r="F143" s="44" t="n">
        <v>3.5</v>
      </c>
      <c r="G143" s="24" t="n">
        <v>0</v>
      </c>
      <c r="H143" s="24" t="n">
        <v>12</v>
      </c>
      <c r="I143" s="44" t="n">
        <f aca="false">E143*F143*(1-G143/100)*(1+H143/100)</f>
        <v>19.6</v>
      </c>
      <c r="J143" s="24" t="s">
        <v>34</v>
      </c>
      <c r="K143" s="24" t="s">
        <v>101</v>
      </c>
      <c r="L143" s="43" t="s">
        <v>91</v>
      </c>
      <c r="M143" s="44" t="n">
        <f aca="false">F143*(1-G143/100)-1.4</f>
        <v>2.1</v>
      </c>
      <c r="N143" s="44" t="n">
        <f aca="false">M143*E143</f>
        <v>10.5</v>
      </c>
    </row>
    <row r="144" customFormat="false" ht="16.5" hidden="false" customHeight="true" outlineLevel="0" collapsed="false">
      <c r="A144" s="45" t="n">
        <v>45670</v>
      </c>
      <c r="B144" s="28" t="s">
        <v>242</v>
      </c>
      <c r="C144" s="46" t="s">
        <v>33</v>
      </c>
      <c r="D144" s="46" t="s">
        <v>104</v>
      </c>
      <c r="E144" s="28" t="n">
        <v>3</v>
      </c>
      <c r="F144" s="47" t="n">
        <v>5</v>
      </c>
      <c r="G144" s="28" t="n">
        <v>0</v>
      </c>
      <c r="H144" s="28" t="n">
        <v>12</v>
      </c>
      <c r="I144" s="47" t="n">
        <f aca="false">E144*F144*(1-G144/100)*(1+H144/100)</f>
        <v>16.8</v>
      </c>
      <c r="J144" s="28" t="s">
        <v>26</v>
      </c>
      <c r="K144" s="28" t="s">
        <v>82</v>
      </c>
      <c r="L144" s="46" t="s">
        <v>83</v>
      </c>
      <c r="M144" s="47" t="n">
        <f aca="false">F144*(1-G144/100)-2.5</f>
        <v>2.5</v>
      </c>
      <c r="N144" s="47" t="n">
        <f aca="false">M144*E144</f>
        <v>7.5</v>
      </c>
    </row>
    <row r="145" customFormat="false" ht="16.5" hidden="false" customHeight="true" outlineLevel="0" collapsed="false">
      <c r="A145" s="42" t="n">
        <v>45670</v>
      </c>
      <c r="B145" s="24" t="s">
        <v>243</v>
      </c>
      <c r="C145" s="43" t="s">
        <v>124</v>
      </c>
      <c r="D145" s="43" t="s">
        <v>96</v>
      </c>
      <c r="E145" s="24" t="n">
        <v>1</v>
      </c>
      <c r="F145" s="44" t="n">
        <v>4</v>
      </c>
      <c r="G145" s="24" t="n">
        <v>0</v>
      </c>
      <c r="H145" s="24" t="n">
        <v>12</v>
      </c>
      <c r="I145" s="44" t="n">
        <f aca="false">E145*F145*(1-G145/100)*(1+H145/100)</f>
        <v>4.48</v>
      </c>
      <c r="J145" s="24" t="s">
        <v>24</v>
      </c>
      <c r="K145" s="24" t="s">
        <v>85</v>
      </c>
      <c r="L145" s="43" t="s">
        <v>111</v>
      </c>
      <c r="M145" s="44" t="n">
        <f aca="false">F145*(1-G145/100)-1.8</f>
        <v>2.2</v>
      </c>
      <c r="N145" s="44" t="n">
        <f aca="false">M145*E145</f>
        <v>2.2</v>
      </c>
    </row>
    <row r="146" customFormat="false" ht="16.5" hidden="false" customHeight="true" outlineLevel="0" collapsed="false">
      <c r="A146" s="45" t="n">
        <v>45670</v>
      </c>
      <c r="B146" s="28" t="s">
        <v>244</v>
      </c>
      <c r="C146" s="46" t="s">
        <v>109</v>
      </c>
      <c r="D146" s="46" t="s">
        <v>110</v>
      </c>
      <c r="E146" s="28" t="n">
        <v>4</v>
      </c>
      <c r="F146" s="47" t="n">
        <v>3.5</v>
      </c>
      <c r="G146" s="28" t="n">
        <v>0</v>
      </c>
      <c r="H146" s="28" t="n">
        <v>12</v>
      </c>
      <c r="I146" s="47" t="n">
        <f aca="false">E146*F146*(1-G146/100)*(1+H146/100)</f>
        <v>15.68</v>
      </c>
      <c r="J146" s="28" t="s">
        <v>24</v>
      </c>
      <c r="K146" s="28" t="s">
        <v>82</v>
      </c>
      <c r="L146" s="46" t="s">
        <v>122</v>
      </c>
      <c r="M146" s="47" t="n">
        <f aca="false">F146*(1-G146/100)-1.4</f>
        <v>2.1</v>
      </c>
      <c r="N146" s="47" t="n">
        <f aca="false">M146*E146</f>
        <v>8.4</v>
      </c>
    </row>
    <row r="147" customFormat="false" ht="16.5" hidden="false" customHeight="true" outlineLevel="0" collapsed="false">
      <c r="A147" s="42" t="n">
        <v>45670</v>
      </c>
      <c r="B147" s="24" t="s">
        <v>245</v>
      </c>
      <c r="C147" s="43" t="s">
        <v>35</v>
      </c>
      <c r="D147" s="43" t="s">
        <v>81</v>
      </c>
      <c r="E147" s="24" t="n">
        <v>4</v>
      </c>
      <c r="F147" s="44" t="n">
        <v>1.5</v>
      </c>
      <c r="G147" s="24" t="n">
        <v>0</v>
      </c>
      <c r="H147" s="24" t="n">
        <v>12</v>
      </c>
      <c r="I147" s="44" t="n">
        <f aca="false">E147*F147*(1-G147/100)*(1+H147/100)</f>
        <v>6.72</v>
      </c>
      <c r="J147" s="24" t="s">
        <v>26</v>
      </c>
      <c r="K147" s="24" t="s">
        <v>97</v>
      </c>
      <c r="L147" s="43" t="s">
        <v>89</v>
      </c>
      <c r="M147" s="44" t="n">
        <f aca="false">F147*(1-G147/100)-0.6</f>
        <v>0.9</v>
      </c>
      <c r="N147" s="44" t="n">
        <f aca="false">M147*E147</f>
        <v>3.6</v>
      </c>
    </row>
    <row r="148" customFormat="false" ht="16.5" hidden="false" customHeight="true" outlineLevel="0" collapsed="false">
      <c r="A148" s="45" t="n">
        <v>45670</v>
      </c>
      <c r="B148" s="28" t="s">
        <v>246</v>
      </c>
      <c r="C148" s="46" t="s">
        <v>33</v>
      </c>
      <c r="D148" s="46" t="s">
        <v>104</v>
      </c>
      <c r="E148" s="28" t="n">
        <v>4</v>
      </c>
      <c r="F148" s="47" t="n">
        <v>5</v>
      </c>
      <c r="G148" s="28" t="n">
        <v>0</v>
      </c>
      <c r="H148" s="28" t="n">
        <v>12</v>
      </c>
      <c r="I148" s="47" t="n">
        <f aca="false">E148*F148*(1-G148/100)*(1+H148/100)</f>
        <v>22.4</v>
      </c>
      <c r="J148" s="28" t="s">
        <v>34</v>
      </c>
      <c r="K148" s="28" t="s">
        <v>82</v>
      </c>
      <c r="L148" s="46" t="s">
        <v>83</v>
      </c>
      <c r="M148" s="47" t="n">
        <f aca="false">F148*(1-G148/100)-2.5</f>
        <v>2.5</v>
      </c>
      <c r="N148" s="47" t="n">
        <f aca="false">M148*E148</f>
        <v>10</v>
      </c>
    </row>
    <row r="149" customFormat="false" ht="16.5" hidden="false" customHeight="true" outlineLevel="0" collapsed="false">
      <c r="A149" s="42" t="n">
        <v>45670</v>
      </c>
      <c r="B149" s="24" t="s">
        <v>247</v>
      </c>
      <c r="C149" s="43" t="s">
        <v>35</v>
      </c>
      <c r="D149" s="43" t="s">
        <v>81</v>
      </c>
      <c r="E149" s="24" t="n">
        <v>2</v>
      </c>
      <c r="F149" s="44" t="n">
        <v>1.5</v>
      </c>
      <c r="G149" s="24" t="n">
        <v>0</v>
      </c>
      <c r="H149" s="24" t="n">
        <v>12</v>
      </c>
      <c r="I149" s="44" t="n">
        <f aca="false">E149*F149*(1-G149/100)*(1+H149/100)</f>
        <v>3.36</v>
      </c>
      <c r="J149" s="24" t="s">
        <v>24</v>
      </c>
      <c r="K149" s="24" t="s">
        <v>82</v>
      </c>
      <c r="L149" s="43" t="s">
        <v>122</v>
      </c>
      <c r="M149" s="44" t="n">
        <f aca="false">F149*(1-G149/100)-0.6</f>
        <v>0.9</v>
      </c>
      <c r="N149" s="44" t="n">
        <f aca="false">M149*E149</f>
        <v>1.8</v>
      </c>
    </row>
    <row r="150" customFormat="false" ht="16.5" hidden="false" customHeight="true" outlineLevel="0" collapsed="false">
      <c r="A150" s="45" t="n">
        <v>45670</v>
      </c>
      <c r="B150" s="28" t="s">
        <v>248</v>
      </c>
      <c r="C150" s="46" t="s">
        <v>109</v>
      </c>
      <c r="D150" s="46" t="s">
        <v>110</v>
      </c>
      <c r="E150" s="28" t="n">
        <v>5</v>
      </c>
      <c r="F150" s="47" t="n">
        <v>3.5</v>
      </c>
      <c r="G150" s="28" t="n">
        <v>0</v>
      </c>
      <c r="H150" s="28" t="n">
        <v>12</v>
      </c>
      <c r="I150" s="47" t="n">
        <f aca="false">E150*F150*(1-G150/100)*(1+H150/100)</f>
        <v>19.6</v>
      </c>
      <c r="J150" s="28" t="s">
        <v>32</v>
      </c>
      <c r="K150" s="28" t="s">
        <v>101</v>
      </c>
      <c r="L150" s="46" t="s">
        <v>111</v>
      </c>
      <c r="M150" s="47" t="n">
        <f aca="false">F150*(1-G150/100)-1.4</f>
        <v>2.1</v>
      </c>
      <c r="N150" s="47" t="n">
        <f aca="false">M150*E150</f>
        <v>10.5</v>
      </c>
    </row>
    <row r="151" customFormat="false" ht="16.5" hidden="false" customHeight="true" outlineLevel="0" collapsed="false">
      <c r="A151" s="42" t="n">
        <v>45670</v>
      </c>
      <c r="B151" s="24" t="s">
        <v>249</v>
      </c>
      <c r="C151" s="43" t="s">
        <v>35</v>
      </c>
      <c r="D151" s="43" t="s">
        <v>81</v>
      </c>
      <c r="E151" s="24" t="n">
        <v>4</v>
      </c>
      <c r="F151" s="44" t="n">
        <v>1.5</v>
      </c>
      <c r="G151" s="24" t="n">
        <v>0</v>
      </c>
      <c r="H151" s="24" t="n">
        <v>12</v>
      </c>
      <c r="I151" s="44" t="n">
        <f aca="false">E151*F151*(1-G151/100)*(1+H151/100)</f>
        <v>6.72</v>
      </c>
      <c r="J151" s="24" t="s">
        <v>34</v>
      </c>
      <c r="K151" s="24" t="s">
        <v>88</v>
      </c>
      <c r="L151" s="43" t="s">
        <v>111</v>
      </c>
      <c r="M151" s="44" t="n">
        <f aca="false">F151*(1-G151/100)-0.6</f>
        <v>0.9</v>
      </c>
      <c r="N151" s="44" t="n">
        <f aca="false">M151*E151</f>
        <v>3.6</v>
      </c>
    </row>
    <row r="152" customFormat="false" ht="16.5" hidden="false" customHeight="true" outlineLevel="0" collapsed="false">
      <c r="A152" s="45" t="n">
        <v>45670</v>
      </c>
      <c r="B152" s="28" t="s">
        <v>250</v>
      </c>
      <c r="C152" s="46" t="s">
        <v>93</v>
      </c>
      <c r="D152" s="46" t="s">
        <v>81</v>
      </c>
      <c r="E152" s="28" t="n">
        <v>1</v>
      </c>
      <c r="F152" s="47" t="n">
        <v>3</v>
      </c>
      <c r="G152" s="28" t="n">
        <v>10</v>
      </c>
      <c r="H152" s="28" t="n">
        <v>12</v>
      </c>
      <c r="I152" s="47" t="n">
        <f aca="false">E152*F152*(1-G152/100)*(1+H152/100)</f>
        <v>3.024</v>
      </c>
      <c r="J152" s="28" t="s">
        <v>24</v>
      </c>
      <c r="K152" s="28" t="s">
        <v>85</v>
      </c>
      <c r="L152" s="46" t="s">
        <v>106</v>
      </c>
      <c r="M152" s="47" t="n">
        <f aca="false">F152*(1-G152/100)-1.5</f>
        <v>1.2</v>
      </c>
      <c r="N152" s="47" t="n">
        <f aca="false">M152*E152</f>
        <v>1.2</v>
      </c>
    </row>
    <row r="153" customFormat="false" ht="16.5" hidden="false" customHeight="true" outlineLevel="0" collapsed="false">
      <c r="A153" s="42" t="n">
        <v>45670</v>
      </c>
      <c r="B153" s="24" t="s">
        <v>251</v>
      </c>
      <c r="C153" s="43" t="s">
        <v>109</v>
      </c>
      <c r="D153" s="43" t="s">
        <v>110</v>
      </c>
      <c r="E153" s="24" t="n">
        <v>3</v>
      </c>
      <c r="F153" s="44" t="n">
        <v>3.5</v>
      </c>
      <c r="G153" s="24" t="n">
        <v>0</v>
      </c>
      <c r="H153" s="24" t="n">
        <v>12</v>
      </c>
      <c r="I153" s="44" t="n">
        <f aca="false">E153*F153*(1-G153/100)*(1+H153/100)</f>
        <v>11.76</v>
      </c>
      <c r="J153" s="24" t="s">
        <v>24</v>
      </c>
      <c r="K153" s="24" t="s">
        <v>82</v>
      </c>
      <c r="L153" s="43" t="s">
        <v>89</v>
      </c>
      <c r="M153" s="44" t="n">
        <f aca="false">F153*(1-G153/100)-1.4</f>
        <v>2.1</v>
      </c>
      <c r="N153" s="44" t="n">
        <f aca="false">M153*E153</f>
        <v>6.3</v>
      </c>
    </row>
    <row r="154" customFormat="false" ht="16.5" hidden="false" customHeight="true" outlineLevel="0" collapsed="false">
      <c r="A154" s="45" t="n">
        <v>45671</v>
      </c>
      <c r="B154" s="28" t="s">
        <v>252</v>
      </c>
      <c r="C154" s="46" t="s">
        <v>25</v>
      </c>
      <c r="D154" s="46" t="s">
        <v>81</v>
      </c>
      <c r="E154" s="28" t="n">
        <v>3</v>
      </c>
      <c r="F154" s="47" t="n">
        <v>3.5</v>
      </c>
      <c r="G154" s="28" t="n">
        <v>10</v>
      </c>
      <c r="H154" s="28" t="n">
        <v>12</v>
      </c>
      <c r="I154" s="47" t="n">
        <f aca="false">E154*F154*(1-G154/100)*(1+H154/100)</f>
        <v>10.584</v>
      </c>
      <c r="J154" s="28" t="s">
        <v>24</v>
      </c>
      <c r="K154" s="28" t="s">
        <v>82</v>
      </c>
      <c r="L154" s="46" t="s">
        <v>111</v>
      </c>
      <c r="M154" s="47" t="n">
        <f aca="false">F154*(1-G154/100)-2.2</f>
        <v>0.95</v>
      </c>
      <c r="N154" s="47" t="n">
        <f aca="false">M154*E154</f>
        <v>2.85</v>
      </c>
    </row>
    <row r="155" customFormat="false" ht="16.5" hidden="false" customHeight="true" outlineLevel="0" collapsed="false">
      <c r="A155" s="42" t="n">
        <v>45671</v>
      </c>
      <c r="B155" s="24" t="s">
        <v>253</v>
      </c>
      <c r="C155" s="43" t="s">
        <v>124</v>
      </c>
      <c r="D155" s="43" t="s">
        <v>96</v>
      </c>
      <c r="E155" s="24" t="n">
        <v>4</v>
      </c>
      <c r="F155" s="44" t="n">
        <v>4</v>
      </c>
      <c r="G155" s="24" t="n">
        <v>0</v>
      </c>
      <c r="H155" s="24" t="n">
        <v>12</v>
      </c>
      <c r="I155" s="44" t="n">
        <f aca="false">E155*F155*(1-G155/100)*(1+H155/100)</f>
        <v>17.92</v>
      </c>
      <c r="J155" s="24" t="s">
        <v>26</v>
      </c>
      <c r="K155" s="24" t="s">
        <v>88</v>
      </c>
      <c r="L155" s="43" t="s">
        <v>94</v>
      </c>
      <c r="M155" s="44" t="n">
        <f aca="false">F155*(1-G155/100)-1.8</f>
        <v>2.2</v>
      </c>
      <c r="N155" s="44" t="n">
        <f aca="false">M155*E155</f>
        <v>8.8</v>
      </c>
    </row>
    <row r="156" customFormat="false" ht="16.5" hidden="false" customHeight="true" outlineLevel="0" collapsed="false">
      <c r="A156" s="45" t="n">
        <v>45671</v>
      </c>
      <c r="B156" s="28" t="s">
        <v>254</v>
      </c>
      <c r="C156" s="46" t="s">
        <v>93</v>
      </c>
      <c r="D156" s="46" t="s">
        <v>81</v>
      </c>
      <c r="E156" s="28" t="n">
        <v>1</v>
      </c>
      <c r="F156" s="47" t="n">
        <v>3</v>
      </c>
      <c r="G156" s="28" t="n">
        <v>5</v>
      </c>
      <c r="H156" s="28" t="n">
        <v>12</v>
      </c>
      <c r="I156" s="47" t="n">
        <f aca="false">E156*F156*(1-G156/100)*(1+H156/100)</f>
        <v>3.192</v>
      </c>
      <c r="J156" s="28" t="s">
        <v>28</v>
      </c>
      <c r="K156" s="28" t="s">
        <v>85</v>
      </c>
      <c r="L156" s="46" t="s">
        <v>106</v>
      </c>
      <c r="M156" s="47" t="n">
        <f aca="false">F156*(1-G156/100)-1.5</f>
        <v>1.35</v>
      </c>
      <c r="N156" s="47" t="n">
        <f aca="false">M156*E156</f>
        <v>1.35</v>
      </c>
    </row>
    <row r="157" customFormat="false" ht="16.5" hidden="false" customHeight="true" outlineLevel="0" collapsed="false">
      <c r="A157" s="42" t="n">
        <v>45671</v>
      </c>
      <c r="B157" s="24" t="s">
        <v>255</v>
      </c>
      <c r="C157" s="43" t="s">
        <v>36</v>
      </c>
      <c r="D157" s="43" t="s">
        <v>96</v>
      </c>
      <c r="E157" s="24" t="n">
        <v>1</v>
      </c>
      <c r="F157" s="44" t="n">
        <v>8.5</v>
      </c>
      <c r="G157" s="24" t="n">
        <v>0</v>
      </c>
      <c r="H157" s="24" t="n">
        <v>12</v>
      </c>
      <c r="I157" s="44" t="n">
        <f aca="false">E157*F157*(1-G157/100)*(1+H157/100)</f>
        <v>9.52</v>
      </c>
      <c r="J157" s="24" t="s">
        <v>28</v>
      </c>
      <c r="K157" s="24" t="s">
        <v>85</v>
      </c>
      <c r="L157" s="43" t="s">
        <v>111</v>
      </c>
      <c r="M157" s="44" t="n">
        <f aca="false">F157*(1-G157/100)-4.2</f>
        <v>4.3</v>
      </c>
      <c r="N157" s="44" t="n">
        <f aca="false">M157*E157</f>
        <v>4.3</v>
      </c>
    </row>
    <row r="158" customFormat="false" ht="16.5" hidden="false" customHeight="true" outlineLevel="0" collapsed="false">
      <c r="A158" s="45" t="n">
        <v>45671</v>
      </c>
      <c r="B158" s="28" t="s">
        <v>256</v>
      </c>
      <c r="C158" s="46" t="s">
        <v>35</v>
      </c>
      <c r="D158" s="46" t="s">
        <v>81</v>
      </c>
      <c r="E158" s="28" t="n">
        <v>4</v>
      </c>
      <c r="F158" s="47" t="n">
        <v>1.5</v>
      </c>
      <c r="G158" s="28" t="n">
        <v>10</v>
      </c>
      <c r="H158" s="28" t="n">
        <v>12</v>
      </c>
      <c r="I158" s="47" t="n">
        <f aca="false">E158*F158*(1-G158/100)*(1+H158/100)</f>
        <v>6.048</v>
      </c>
      <c r="J158" s="28" t="s">
        <v>24</v>
      </c>
      <c r="K158" s="28" t="s">
        <v>85</v>
      </c>
      <c r="L158" s="46" t="s">
        <v>98</v>
      </c>
      <c r="M158" s="47" t="n">
        <f aca="false">F158*(1-G158/100)-0.6</f>
        <v>0.75</v>
      </c>
      <c r="N158" s="47" t="n">
        <f aca="false">M158*E158</f>
        <v>3</v>
      </c>
    </row>
    <row r="159" customFormat="false" ht="16.5" hidden="false" customHeight="true" outlineLevel="0" collapsed="false">
      <c r="A159" s="42" t="n">
        <v>45671</v>
      </c>
      <c r="B159" s="24" t="s">
        <v>257</v>
      </c>
      <c r="C159" s="43" t="s">
        <v>36</v>
      </c>
      <c r="D159" s="43" t="s">
        <v>96</v>
      </c>
      <c r="E159" s="24" t="n">
        <v>3</v>
      </c>
      <c r="F159" s="44" t="n">
        <v>8.5</v>
      </c>
      <c r="G159" s="24" t="n">
        <v>0</v>
      </c>
      <c r="H159" s="24" t="n">
        <v>12</v>
      </c>
      <c r="I159" s="44" t="n">
        <f aca="false">E159*F159*(1-G159/100)*(1+H159/100)</f>
        <v>28.56</v>
      </c>
      <c r="J159" s="24" t="s">
        <v>24</v>
      </c>
      <c r="K159" s="24" t="s">
        <v>85</v>
      </c>
      <c r="L159" s="43" t="s">
        <v>117</v>
      </c>
      <c r="M159" s="44" t="n">
        <f aca="false">F159*(1-G159/100)-4.2</f>
        <v>4.3</v>
      </c>
      <c r="N159" s="44" t="n">
        <f aca="false">M159*E159</f>
        <v>12.9</v>
      </c>
    </row>
    <row r="160" customFormat="false" ht="16.5" hidden="false" customHeight="true" outlineLevel="0" collapsed="false">
      <c r="A160" s="45" t="n">
        <v>45671</v>
      </c>
      <c r="B160" s="28" t="s">
        <v>258</v>
      </c>
      <c r="C160" s="46" t="s">
        <v>25</v>
      </c>
      <c r="D160" s="46" t="s">
        <v>81</v>
      </c>
      <c r="E160" s="28" t="n">
        <v>5</v>
      </c>
      <c r="F160" s="47" t="n">
        <v>3.5</v>
      </c>
      <c r="G160" s="28" t="n">
        <v>5</v>
      </c>
      <c r="H160" s="28" t="n">
        <v>12</v>
      </c>
      <c r="I160" s="47" t="n">
        <f aca="false">E160*F160*(1-G160/100)*(1+H160/100)</f>
        <v>18.62</v>
      </c>
      <c r="J160" s="28" t="s">
        <v>32</v>
      </c>
      <c r="K160" s="28" t="s">
        <v>101</v>
      </c>
      <c r="L160" s="46" t="s">
        <v>91</v>
      </c>
      <c r="M160" s="47" t="n">
        <f aca="false">F160*(1-G160/100)-2.2</f>
        <v>1.125</v>
      </c>
      <c r="N160" s="47" t="n">
        <f aca="false">M160*E160</f>
        <v>5.625</v>
      </c>
    </row>
    <row r="161" customFormat="false" ht="16.5" hidden="false" customHeight="true" outlineLevel="0" collapsed="false">
      <c r="A161" s="42" t="n">
        <v>45671</v>
      </c>
      <c r="B161" s="24" t="s">
        <v>259</v>
      </c>
      <c r="C161" s="43" t="s">
        <v>124</v>
      </c>
      <c r="D161" s="43" t="s">
        <v>96</v>
      </c>
      <c r="E161" s="24" t="n">
        <v>3</v>
      </c>
      <c r="F161" s="44" t="n">
        <v>4</v>
      </c>
      <c r="G161" s="24" t="n">
        <v>10</v>
      </c>
      <c r="H161" s="24" t="n">
        <v>12</v>
      </c>
      <c r="I161" s="44" t="n">
        <f aca="false">E161*F161*(1-G161/100)*(1+H161/100)</f>
        <v>12.096</v>
      </c>
      <c r="J161" s="24" t="s">
        <v>32</v>
      </c>
      <c r="K161" s="24" t="s">
        <v>85</v>
      </c>
      <c r="L161" s="43" t="s">
        <v>86</v>
      </c>
      <c r="M161" s="44" t="n">
        <f aca="false">F161*(1-G161/100)-1.8</f>
        <v>1.8</v>
      </c>
      <c r="N161" s="44" t="n">
        <f aca="false">M161*E161</f>
        <v>5.4</v>
      </c>
    </row>
    <row r="162" customFormat="false" ht="16.5" hidden="false" customHeight="true" outlineLevel="0" collapsed="false">
      <c r="A162" s="45" t="n">
        <v>45671</v>
      </c>
      <c r="B162" s="28" t="s">
        <v>260</v>
      </c>
      <c r="C162" s="46" t="s">
        <v>33</v>
      </c>
      <c r="D162" s="46" t="s">
        <v>104</v>
      </c>
      <c r="E162" s="28" t="n">
        <v>3</v>
      </c>
      <c r="F162" s="47" t="n">
        <v>5</v>
      </c>
      <c r="G162" s="28" t="n">
        <v>10</v>
      </c>
      <c r="H162" s="28" t="n">
        <v>12</v>
      </c>
      <c r="I162" s="47" t="n">
        <f aca="false">E162*F162*(1-G162/100)*(1+H162/100)</f>
        <v>15.12</v>
      </c>
      <c r="J162" s="28" t="s">
        <v>26</v>
      </c>
      <c r="K162" s="28" t="s">
        <v>97</v>
      </c>
      <c r="L162" s="46" t="s">
        <v>111</v>
      </c>
      <c r="M162" s="47" t="n">
        <f aca="false">F162*(1-G162/100)-2.5</f>
        <v>2</v>
      </c>
      <c r="N162" s="47" t="n">
        <f aca="false">M162*E162</f>
        <v>6</v>
      </c>
    </row>
    <row r="163" customFormat="false" ht="16.5" hidden="false" customHeight="true" outlineLevel="0" collapsed="false">
      <c r="A163" s="42" t="n">
        <v>45671</v>
      </c>
      <c r="B163" s="24" t="s">
        <v>261</v>
      </c>
      <c r="C163" s="43" t="s">
        <v>93</v>
      </c>
      <c r="D163" s="43" t="s">
        <v>81</v>
      </c>
      <c r="E163" s="24" t="n">
        <v>1</v>
      </c>
      <c r="F163" s="44" t="n">
        <v>3</v>
      </c>
      <c r="G163" s="24" t="n">
        <v>0</v>
      </c>
      <c r="H163" s="24" t="n">
        <v>12</v>
      </c>
      <c r="I163" s="44" t="n">
        <f aca="false">E163*F163*(1-G163/100)*(1+H163/100)</f>
        <v>3.36</v>
      </c>
      <c r="J163" s="24" t="s">
        <v>34</v>
      </c>
      <c r="K163" s="24" t="s">
        <v>82</v>
      </c>
      <c r="L163" s="43" t="s">
        <v>83</v>
      </c>
      <c r="M163" s="44" t="n">
        <f aca="false">F163*(1-G163/100)-1.5</f>
        <v>1.5</v>
      </c>
      <c r="N163" s="44" t="n">
        <f aca="false">M163*E163</f>
        <v>1.5</v>
      </c>
    </row>
    <row r="164" customFormat="false" ht="16.5" hidden="false" customHeight="true" outlineLevel="0" collapsed="false">
      <c r="A164" s="45" t="n">
        <v>45671</v>
      </c>
      <c r="B164" s="28" t="s">
        <v>262</v>
      </c>
      <c r="C164" s="46" t="s">
        <v>35</v>
      </c>
      <c r="D164" s="46" t="s">
        <v>81</v>
      </c>
      <c r="E164" s="28" t="n">
        <v>5</v>
      </c>
      <c r="F164" s="47" t="n">
        <v>1.5</v>
      </c>
      <c r="G164" s="28" t="n">
        <v>0</v>
      </c>
      <c r="H164" s="28" t="n">
        <v>12</v>
      </c>
      <c r="I164" s="47" t="n">
        <f aca="false">E164*F164*(1-G164/100)*(1+H164/100)</f>
        <v>8.4</v>
      </c>
      <c r="J164" s="28" t="s">
        <v>34</v>
      </c>
      <c r="K164" s="28" t="s">
        <v>85</v>
      </c>
      <c r="L164" s="46" t="s">
        <v>98</v>
      </c>
      <c r="M164" s="47" t="n">
        <f aca="false">F164*(1-G164/100)-0.6</f>
        <v>0.9</v>
      </c>
      <c r="N164" s="47" t="n">
        <f aca="false">M164*E164</f>
        <v>4.5</v>
      </c>
    </row>
    <row r="165" customFormat="false" ht="16.5" hidden="false" customHeight="true" outlineLevel="0" collapsed="false">
      <c r="A165" s="42" t="n">
        <v>45671</v>
      </c>
      <c r="B165" s="24" t="s">
        <v>263</v>
      </c>
      <c r="C165" s="43" t="s">
        <v>33</v>
      </c>
      <c r="D165" s="43" t="s">
        <v>104</v>
      </c>
      <c r="E165" s="24" t="n">
        <v>1</v>
      </c>
      <c r="F165" s="44" t="n">
        <v>5</v>
      </c>
      <c r="G165" s="24" t="n">
        <v>5</v>
      </c>
      <c r="H165" s="24" t="n">
        <v>12</v>
      </c>
      <c r="I165" s="44" t="n">
        <f aca="false">E165*F165*(1-G165/100)*(1+H165/100)</f>
        <v>5.32</v>
      </c>
      <c r="J165" s="24" t="s">
        <v>24</v>
      </c>
      <c r="K165" s="24" t="s">
        <v>82</v>
      </c>
      <c r="L165" s="43" t="s">
        <v>111</v>
      </c>
      <c r="M165" s="44" t="n">
        <f aca="false">F165*(1-G165/100)-2.5</f>
        <v>2.25</v>
      </c>
      <c r="N165" s="44" t="n">
        <f aca="false">M165*E165</f>
        <v>2.25</v>
      </c>
    </row>
    <row r="166" customFormat="false" ht="16.5" hidden="false" customHeight="true" outlineLevel="0" collapsed="false">
      <c r="A166" s="45" t="n">
        <v>45671</v>
      </c>
      <c r="B166" s="28" t="s">
        <v>264</v>
      </c>
      <c r="C166" s="46" t="s">
        <v>35</v>
      </c>
      <c r="D166" s="46" t="s">
        <v>81</v>
      </c>
      <c r="E166" s="28" t="n">
        <v>5</v>
      </c>
      <c r="F166" s="47" t="n">
        <v>1.5</v>
      </c>
      <c r="G166" s="28" t="n">
        <v>0</v>
      </c>
      <c r="H166" s="28" t="n">
        <v>12</v>
      </c>
      <c r="I166" s="47" t="n">
        <f aca="false">E166*F166*(1-G166/100)*(1+H166/100)</f>
        <v>8.4</v>
      </c>
      <c r="J166" s="28" t="s">
        <v>32</v>
      </c>
      <c r="K166" s="28" t="s">
        <v>85</v>
      </c>
      <c r="L166" s="46" t="s">
        <v>111</v>
      </c>
      <c r="M166" s="47" t="n">
        <f aca="false">F166*(1-G166/100)-0.6</f>
        <v>0.9</v>
      </c>
      <c r="N166" s="47" t="n">
        <f aca="false">M166*E166</f>
        <v>4.5</v>
      </c>
    </row>
    <row r="167" customFormat="false" ht="16.5" hidden="false" customHeight="true" outlineLevel="0" collapsed="false">
      <c r="A167" s="42" t="n">
        <v>45671</v>
      </c>
      <c r="B167" s="24" t="s">
        <v>265</v>
      </c>
      <c r="C167" s="43" t="s">
        <v>33</v>
      </c>
      <c r="D167" s="43" t="s">
        <v>104</v>
      </c>
      <c r="E167" s="24" t="n">
        <v>4</v>
      </c>
      <c r="F167" s="44" t="n">
        <v>5</v>
      </c>
      <c r="G167" s="24" t="n">
        <v>10</v>
      </c>
      <c r="H167" s="24" t="n">
        <v>12</v>
      </c>
      <c r="I167" s="44" t="n">
        <f aca="false">E167*F167*(1-G167/100)*(1+H167/100)</f>
        <v>20.16</v>
      </c>
      <c r="J167" s="24" t="s">
        <v>26</v>
      </c>
      <c r="K167" s="24" t="s">
        <v>85</v>
      </c>
      <c r="L167" s="43" t="s">
        <v>91</v>
      </c>
      <c r="M167" s="44" t="n">
        <f aca="false">F167*(1-G167/100)-2.5</f>
        <v>2</v>
      </c>
      <c r="N167" s="44" t="n">
        <f aca="false">M167*E167</f>
        <v>8</v>
      </c>
    </row>
    <row r="168" customFormat="false" ht="16.5" hidden="false" customHeight="true" outlineLevel="0" collapsed="false">
      <c r="A168" s="45" t="n">
        <v>45672</v>
      </c>
      <c r="B168" s="28" t="s">
        <v>266</v>
      </c>
      <c r="C168" s="46" t="s">
        <v>124</v>
      </c>
      <c r="D168" s="46" t="s">
        <v>96</v>
      </c>
      <c r="E168" s="28" t="n">
        <v>2</v>
      </c>
      <c r="F168" s="47" t="n">
        <v>4</v>
      </c>
      <c r="G168" s="28" t="n">
        <v>0</v>
      </c>
      <c r="H168" s="28" t="n">
        <v>12</v>
      </c>
      <c r="I168" s="47" t="n">
        <f aca="false">E168*F168*(1-G168/100)*(1+H168/100)</f>
        <v>8.96</v>
      </c>
      <c r="J168" s="28" t="s">
        <v>28</v>
      </c>
      <c r="K168" s="28" t="s">
        <v>85</v>
      </c>
      <c r="L168" s="46" t="s">
        <v>106</v>
      </c>
      <c r="M168" s="47" t="n">
        <f aca="false">F168*(1-G168/100)-1.8</f>
        <v>2.2</v>
      </c>
      <c r="N168" s="47" t="n">
        <f aca="false">M168*E168</f>
        <v>4.4</v>
      </c>
    </row>
    <row r="169" customFormat="false" ht="16.5" hidden="false" customHeight="true" outlineLevel="0" collapsed="false">
      <c r="A169" s="42" t="n">
        <v>45672</v>
      </c>
      <c r="B169" s="24" t="s">
        <v>267</v>
      </c>
      <c r="C169" s="43" t="s">
        <v>124</v>
      </c>
      <c r="D169" s="43" t="s">
        <v>96</v>
      </c>
      <c r="E169" s="24" t="n">
        <v>3</v>
      </c>
      <c r="F169" s="44" t="n">
        <v>4</v>
      </c>
      <c r="G169" s="24" t="n">
        <v>0</v>
      </c>
      <c r="H169" s="24" t="n">
        <v>12</v>
      </c>
      <c r="I169" s="44" t="n">
        <f aca="false">E169*F169*(1-G169/100)*(1+H169/100)</f>
        <v>13.44</v>
      </c>
      <c r="J169" s="24" t="s">
        <v>28</v>
      </c>
      <c r="K169" s="24" t="s">
        <v>97</v>
      </c>
      <c r="L169" s="43" t="s">
        <v>89</v>
      </c>
      <c r="M169" s="44" t="n">
        <f aca="false">F169*(1-G169/100)-1.8</f>
        <v>2.2</v>
      </c>
      <c r="N169" s="44" t="n">
        <f aca="false">M169*E169</f>
        <v>6.6</v>
      </c>
    </row>
    <row r="170" customFormat="false" ht="16.5" hidden="false" customHeight="true" outlineLevel="0" collapsed="false">
      <c r="A170" s="45" t="n">
        <v>45672</v>
      </c>
      <c r="B170" s="28" t="s">
        <v>268</v>
      </c>
      <c r="C170" s="46" t="s">
        <v>109</v>
      </c>
      <c r="D170" s="46" t="s">
        <v>110</v>
      </c>
      <c r="E170" s="28" t="n">
        <v>4</v>
      </c>
      <c r="F170" s="47" t="n">
        <v>3.5</v>
      </c>
      <c r="G170" s="28" t="n">
        <v>0</v>
      </c>
      <c r="H170" s="28" t="n">
        <v>12</v>
      </c>
      <c r="I170" s="47" t="n">
        <f aca="false">E170*F170*(1-G170/100)*(1+H170/100)</f>
        <v>15.68</v>
      </c>
      <c r="J170" s="28" t="s">
        <v>32</v>
      </c>
      <c r="K170" s="28" t="s">
        <v>88</v>
      </c>
      <c r="L170" s="46" t="s">
        <v>111</v>
      </c>
      <c r="M170" s="47" t="n">
        <f aca="false">F170*(1-G170/100)-1.4</f>
        <v>2.1</v>
      </c>
      <c r="N170" s="47" t="n">
        <f aca="false">M170*E170</f>
        <v>8.4</v>
      </c>
    </row>
    <row r="171" customFormat="false" ht="16.5" hidden="false" customHeight="true" outlineLevel="0" collapsed="false">
      <c r="A171" s="42" t="n">
        <v>45672</v>
      </c>
      <c r="B171" s="24" t="s">
        <v>269</v>
      </c>
      <c r="C171" s="43" t="s">
        <v>36</v>
      </c>
      <c r="D171" s="43" t="s">
        <v>96</v>
      </c>
      <c r="E171" s="24" t="n">
        <v>3</v>
      </c>
      <c r="F171" s="44" t="n">
        <v>8.5</v>
      </c>
      <c r="G171" s="24" t="n">
        <v>10</v>
      </c>
      <c r="H171" s="24" t="n">
        <v>12</v>
      </c>
      <c r="I171" s="44" t="n">
        <f aca="false">E171*F171*(1-G171/100)*(1+H171/100)</f>
        <v>25.704</v>
      </c>
      <c r="J171" s="24" t="s">
        <v>34</v>
      </c>
      <c r="K171" s="24" t="s">
        <v>85</v>
      </c>
      <c r="L171" s="43" t="s">
        <v>111</v>
      </c>
      <c r="M171" s="44" t="n">
        <f aca="false">F171*(1-G171/100)-4.2</f>
        <v>3.45</v>
      </c>
      <c r="N171" s="44" t="n">
        <f aca="false">M171*E171</f>
        <v>10.35</v>
      </c>
    </row>
    <row r="172" customFormat="false" ht="16.5" hidden="false" customHeight="true" outlineLevel="0" collapsed="false">
      <c r="A172" s="45" t="n">
        <v>45672</v>
      </c>
      <c r="B172" s="28" t="s">
        <v>270</v>
      </c>
      <c r="C172" s="46" t="s">
        <v>36</v>
      </c>
      <c r="D172" s="46" t="s">
        <v>96</v>
      </c>
      <c r="E172" s="28" t="n">
        <v>2</v>
      </c>
      <c r="F172" s="47" t="n">
        <v>8.5</v>
      </c>
      <c r="G172" s="28" t="n">
        <v>0</v>
      </c>
      <c r="H172" s="28" t="n">
        <v>12</v>
      </c>
      <c r="I172" s="47" t="n">
        <f aca="false">E172*F172*(1-G172/100)*(1+H172/100)</f>
        <v>19.04</v>
      </c>
      <c r="J172" s="28" t="s">
        <v>34</v>
      </c>
      <c r="K172" s="28" t="s">
        <v>85</v>
      </c>
      <c r="L172" s="46" t="s">
        <v>91</v>
      </c>
      <c r="M172" s="47" t="n">
        <f aca="false">F172*(1-G172/100)-4.2</f>
        <v>4.3</v>
      </c>
      <c r="N172" s="47" t="n">
        <f aca="false">M172*E172</f>
        <v>8.6</v>
      </c>
    </row>
    <row r="173" customFormat="false" ht="16.5" hidden="false" customHeight="true" outlineLevel="0" collapsed="false">
      <c r="A173" s="42" t="n">
        <v>45672</v>
      </c>
      <c r="B173" s="24" t="s">
        <v>271</v>
      </c>
      <c r="C173" s="43" t="s">
        <v>113</v>
      </c>
      <c r="D173" s="43" t="s">
        <v>96</v>
      </c>
      <c r="E173" s="24" t="n">
        <v>1</v>
      </c>
      <c r="F173" s="44" t="n">
        <v>6</v>
      </c>
      <c r="G173" s="24" t="n">
        <v>0</v>
      </c>
      <c r="H173" s="24" t="n">
        <v>12</v>
      </c>
      <c r="I173" s="44" t="n">
        <f aca="false">E173*F173*(1-G173/100)*(1+H173/100)</f>
        <v>6.72</v>
      </c>
      <c r="J173" s="24" t="s">
        <v>32</v>
      </c>
      <c r="K173" s="24" t="s">
        <v>85</v>
      </c>
      <c r="L173" s="43" t="s">
        <v>94</v>
      </c>
      <c r="M173" s="44" t="n">
        <f aca="false">F173*(1-G173/100)-2.8</f>
        <v>3.2</v>
      </c>
      <c r="N173" s="44" t="n">
        <f aca="false">M173*E173</f>
        <v>3.2</v>
      </c>
    </row>
    <row r="174" customFormat="false" ht="16.5" hidden="false" customHeight="true" outlineLevel="0" collapsed="false">
      <c r="A174" s="45" t="n">
        <v>45672</v>
      </c>
      <c r="B174" s="28" t="s">
        <v>272</v>
      </c>
      <c r="C174" s="46" t="s">
        <v>29</v>
      </c>
      <c r="D174" s="46" t="s">
        <v>104</v>
      </c>
      <c r="E174" s="28" t="n">
        <v>4</v>
      </c>
      <c r="F174" s="47" t="n">
        <v>2.5</v>
      </c>
      <c r="G174" s="28" t="n">
        <v>0</v>
      </c>
      <c r="H174" s="28" t="n">
        <v>12</v>
      </c>
      <c r="I174" s="47" t="n">
        <f aca="false">E174*F174*(1-G174/100)*(1+H174/100)</f>
        <v>11.2</v>
      </c>
      <c r="J174" s="28" t="s">
        <v>26</v>
      </c>
      <c r="K174" s="28" t="s">
        <v>88</v>
      </c>
      <c r="L174" s="46" t="s">
        <v>89</v>
      </c>
      <c r="M174" s="47" t="n">
        <f aca="false">F174*(1-G174/100)-1.1</f>
        <v>1.4</v>
      </c>
      <c r="N174" s="47" t="n">
        <f aca="false">M174*E174</f>
        <v>5.6</v>
      </c>
    </row>
    <row r="175" customFormat="false" ht="16.5" hidden="false" customHeight="true" outlineLevel="0" collapsed="false">
      <c r="A175" s="42" t="n">
        <v>45672</v>
      </c>
      <c r="B175" s="24" t="s">
        <v>273</v>
      </c>
      <c r="C175" s="43" t="s">
        <v>36</v>
      </c>
      <c r="D175" s="43" t="s">
        <v>96</v>
      </c>
      <c r="E175" s="24" t="n">
        <v>1</v>
      </c>
      <c r="F175" s="44" t="n">
        <v>8.5</v>
      </c>
      <c r="G175" s="24" t="n">
        <v>5</v>
      </c>
      <c r="H175" s="24" t="n">
        <v>12</v>
      </c>
      <c r="I175" s="44" t="n">
        <f aca="false">E175*F175*(1-G175/100)*(1+H175/100)</f>
        <v>9.044</v>
      </c>
      <c r="J175" s="24" t="s">
        <v>24</v>
      </c>
      <c r="K175" s="24" t="s">
        <v>88</v>
      </c>
      <c r="L175" s="43" t="s">
        <v>111</v>
      </c>
      <c r="M175" s="44" t="n">
        <f aca="false">F175*(1-G175/100)-4.2</f>
        <v>3.875</v>
      </c>
      <c r="N175" s="44" t="n">
        <f aca="false">M175*E175</f>
        <v>3.875</v>
      </c>
    </row>
    <row r="176" customFormat="false" ht="16.5" hidden="false" customHeight="true" outlineLevel="0" collapsed="false">
      <c r="A176" s="45" t="n">
        <v>45672</v>
      </c>
      <c r="B176" s="28" t="s">
        <v>274</v>
      </c>
      <c r="C176" s="46" t="s">
        <v>25</v>
      </c>
      <c r="D176" s="46" t="s">
        <v>81</v>
      </c>
      <c r="E176" s="28" t="n">
        <v>2</v>
      </c>
      <c r="F176" s="47" t="n">
        <v>3.5</v>
      </c>
      <c r="G176" s="28" t="n">
        <v>5</v>
      </c>
      <c r="H176" s="28" t="n">
        <v>12</v>
      </c>
      <c r="I176" s="47" t="n">
        <f aca="false">E176*F176*(1-G176/100)*(1+H176/100)</f>
        <v>7.448</v>
      </c>
      <c r="J176" s="28" t="s">
        <v>26</v>
      </c>
      <c r="K176" s="28" t="s">
        <v>101</v>
      </c>
      <c r="L176" s="46" t="s">
        <v>111</v>
      </c>
      <c r="M176" s="47" t="n">
        <f aca="false">F176*(1-G176/100)-2.2</f>
        <v>1.125</v>
      </c>
      <c r="N176" s="47" t="n">
        <f aca="false">M176*E176</f>
        <v>2.25</v>
      </c>
    </row>
    <row r="177" customFormat="false" ht="16.5" hidden="false" customHeight="true" outlineLevel="0" collapsed="false">
      <c r="A177" s="42" t="n">
        <v>45672</v>
      </c>
      <c r="B177" s="24" t="s">
        <v>275</v>
      </c>
      <c r="C177" s="43" t="s">
        <v>35</v>
      </c>
      <c r="D177" s="43" t="s">
        <v>81</v>
      </c>
      <c r="E177" s="24" t="n">
        <v>3</v>
      </c>
      <c r="F177" s="44" t="n">
        <v>1.5</v>
      </c>
      <c r="G177" s="24" t="n">
        <v>10</v>
      </c>
      <c r="H177" s="24" t="n">
        <v>12</v>
      </c>
      <c r="I177" s="44" t="n">
        <f aca="false">E177*F177*(1-G177/100)*(1+H177/100)</f>
        <v>4.536</v>
      </c>
      <c r="J177" s="24" t="s">
        <v>32</v>
      </c>
      <c r="K177" s="24" t="s">
        <v>101</v>
      </c>
      <c r="L177" s="43" t="s">
        <v>106</v>
      </c>
      <c r="M177" s="44" t="n">
        <f aca="false">F177*(1-G177/100)-0.6</f>
        <v>0.75</v>
      </c>
      <c r="N177" s="44" t="n">
        <f aca="false">M177*E177</f>
        <v>2.25</v>
      </c>
    </row>
    <row r="178" customFormat="false" ht="16.5" hidden="false" customHeight="true" outlineLevel="0" collapsed="false">
      <c r="A178" s="45" t="n">
        <v>45672</v>
      </c>
      <c r="B178" s="28" t="s">
        <v>276</v>
      </c>
      <c r="C178" s="46" t="s">
        <v>124</v>
      </c>
      <c r="D178" s="46" t="s">
        <v>96</v>
      </c>
      <c r="E178" s="28" t="n">
        <v>4</v>
      </c>
      <c r="F178" s="47" t="n">
        <v>4</v>
      </c>
      <c r="G178" s="28" t="n">
        <v>0</v>
      </c>
      <c r="H178" s="28" t="n">
        <v>12</v>
      </c>
      <c r="I178" s="47" t="n">
        <f aca="false">E178*F178*(1-G178/100)*(1+H178/100)</f>
        <v>17.92</v>
      </c>
      <c r="J178" s="28" t="s">
        <v>32</v>
      </c>
      <c r="K178" s="28" t="s">
        <v>88</v>
      </c>
      <c r="L178" s="46" t="s">
        <v>86</v>
      </c>
      <c r="M178" s="47" t="n">
        <f aca="false">F178*(1-G178/100)-1.8</f>
        <v>2.2</v>
      </c>
      <c r="N178" s="47" t="n">
        <f aca="false">M178*E178</f>
        <v>8.8</v>
      </c>
    </row>
    <row r="179" customFormat="false" ht="16.5" hidden="false" customHeight="true" outlineLevel="0" collapsed="false">
      <c r="A179" s="42" t="n">
        <v>45672</v>
      </c>
      <c r="B179" s="24" t="s">
        <v>277</v>
      </c>
      <c r="C179" s="43" t="s">
        <v>109</v>
      </c>
      <c r="D179" s="43" t="s">
        <v>110</v>
      </c>
      <c r="E179" s="24" t="n">
        <v>1</v>
      </c>
      <c r="F179" s="44" t="n">
        <v>3.5</v>
      </c>
      <c r="G179" s="24" t="n">
        <v>0</v>
      </c>
      <c r="H179" s="24" t="n">
        <v>12</v>
      </c>
      <c r="I179" s="44" t="n">
        <f aca="false">E179*F179*(1-G179/100)*(1+H179/100)</f>
        <v>3.92</v>
      </c>
      <c r="J179" s="24" t="s">
        <v>28</v>
      </c>
      <c r="K179" s="24" t="s">
        <v>82</v>
      </c>
      <c r="L179" s="43" t="s">
        <v>98</v>
      </c>
      <c r="M179" s="44" t="n">
        <f aca="false">F179*(1-G179/100)-1.4</f>
        <v>2.1</v>
      </c>
      <c r="N179" s="44" t="n">
        <f aca="false">M179*E179</f>
        <v>2.1</v>
      </c>
    </row>
    <row r="180" customFormat="false" ht="16.5" hidden="false" customHeight="true" outlineLevel="0" collapsed="false">
      <c r="A180" s="45" t="n">
        <v>45672</v>
      </c>
      <c r="B180" s="28" t="s">
        <v>278</v>
      </c>
      <c r="C180" s="46" t="s">
        <v>113</v>
      </c>
      <c r="D180" s="46" t="s">
        <v>96</v>
      </c>
      <c r="E180" s="28" t="n">
        <v>1</v>
      </c>
      <c r="F180" s="47" t="n">
        <v>6</v>
      </c>
      <c r="G180" s="28" t="n">
        <v>0</v>
      </c>
      <c r="H180" s="28" t="n">
        <v>12</v>
      </c>
      <c r="I180" s="47" t="n">
        <f aca="false">E180*F180*(1-G180/100)*(1+H180/100)</f>
        <v>6.72</v>
      </c>
      <c r="J180" s="28" t="s">
        <v>32</v>
      </c>
      <c r="K180" s="28" t="s">
        <v>82</v>
      </c>
      <c r="L180" s="46" t="s">
        <v>122</v>
      </c>
      <c r="M180" s="47" t="n">
        <f aca="false">F180*(1-G180/100)-2.8</f>
        <v>3.2</v>
      </c>
      <c r="N180" s="47" t="n">
        <f aca="false">M180*E180</f>
        <v>3.2</v>
      </c>
    </row>
    <row r="181" customFormat="false" ht="16.5" hidden="false" customHeight="true" outlineLevel="0" collapsed="false">
      <c r="A181" s="42" t="n">
        <v>45672</v>
      </c>
      <c r="B181" s="24" t="s">
        <v>279</v>
      </c>
      <c r="C181" s="43" t="s">
        <v>25</v>
      </c>
      <c r="D181" s="43" t="s">
        <v>81</v>
      </c>
      <c r="E181" s="24" t="n">
        <v>1</v>
      </c>
      <c r="F181" s="44" t="n">
        <v>3.5</v>
      </c>
      <c r="G181" s="24" t="n">
        <v>0</v>
      </c>
      <c r="H181" s="24" t="n">
        <v>12</v>
      </c>
      <c r="I181" s="44" t="n">
        <f aca="false">E181*F181*(1-G181/100)*(1+H181/100)</f>
        <v>3.92</v>
      </c>
      <c r="J181" s="24" t="s">
        <v>24</v>
      </c>
      <c r="K181" s="24" t="s">
        <v>97</v>
      </c>
      <c r="L181" s="43" t="s">
        <v>106</v>
      </c>
      <c r="M181" s="44" t="n">
        <f aca="false">F181*(1-G181/100)-2.2</f>
        <v>1.3</v>
      </c>
      <c r="N181" s="44" t="n">
        <f aca="false">M181*E181</f>
        <v>1.3</v>
      </c>
    </row>
    <row r="182" customFormat="false" ht="16.5" hidden="false" customHeight="true" outlineLevel="0" collapsed="false">
      <c r="A182" s="45" t="n">
        <v>45673</v>
      </c>
      <c r="B182" s="28" t="s">
        <v>280</v>
      </c>
      <c r="C182" s="46" t="s">
        <v>113</v>
      </c>
      <c r="D182" s="46" t="s">
        <v>96</v>
      </c>
      <c r="E182" s="28" t="n">
        <v>2</v>
      </c>
      <c r="F182" s="47" t="n">
        <v>6</v>
      </c>
      <c r="G182" s="28" t="n">
        <v>0</v>
      </c>
      <c r="H182" s="28" t="n">
        <v>12</v>
      </c>
      <c r="I182" s="47" t="n">
        <f aca="false">E182*F182*(1-G182/100)*(1+H182/100)</f>
        <v>13.44</v>
      </c>
      <c r="J182" s="28" t="s">
        <v>34</v>
      </c>
      <c r="K182" s="28" t="s">
        <v>85</v>
      </c>
      <c r="L182" s="46" t="s">
        <v>89</v>
      </c>
      <c r="M182" s="47" t="n">
        <f aca="false">F182*(1-G182/100)-2.8</f>
        <v>3.2</v>
      </c>
      <c r="N182" s="47" t="n">
        <f aca="false">M182*E182</f>
        <v>6.4</v>
      </c>
    </row>
    <row r="183" customFormat="false" ht="16.5" hidden="false" customHeight="true" outlineLevel="0" collapsed="false">
      <c r="A183" s="42" t="n">
        <v>45673</v>
      </c>
      <c r="B183" s="24" t="s">
        <v>281</v>
      </c>
      <c r="C183" s="43" t="s">
        <v>29</v>
      </c>
      <c r="D183" s="43" t="s">
        <v>104</v>
      </c>
      <c r="E183" s="24" t="n">
        <v>2</v>
      </c>
      <c r="F183" s="44" t="n">
        <v>2.5</v>
      </c>
      <c r="G183" s="24" t="n">
        <v>0</v>
      </c>
      <c r="H183" s="24" t="n">
        <v>12</v>
      </c>
      <c r="I183" s="44" t="n">
        <f aca="false">E183*F183*(1-G183/100)*(1+H183/100)</f>
        <v>5.6</v>
      </c>
      <c r="J183" s="24" t="s">
        <v>24</v>
      </c>
      <c r="K183" s="24" t="s">
        <v>88</v>
      </c>
      <c r="L183" s="43" t="s">
        <v>94</v>
      </c>
      <c r="M183" s="44" t="n">
        <f aca="false">F183*(1-G183/100)-1.1</f>
        <v>1.4</v>
      </c>
      <c r="N183" s="44" t="n">
        <f aca="false">M183*E183</f>
        <v>2.8</v>
      </c>
    </row>
    <row r="184" customFormat="false" ht="16.5" hidden="false" customHeight="true" outlineLevel="0" collapsed="false">
      <c r="A184" s="45" t="n">
        <v>45673</v>
      </c>
      <c r="B184" s="28" t="s">
        <v>282</v>
      </c>
      <c r="C184" s="46" t="s">
        <v>109</v>
      </c>
      <c r="D184" s="46" t="s">
        <v>110</v>
      </c>
      <c r="E184" s="28" t="n">
        <v>2</v>
      </c>
      <c r="F184" s="47" t="n">
        <v>3.5</v>
      </c>
      <c r="G184" s="28" t="n">
        <v>5</v>
      </c>
      <c r="H184" s="28" t="n">
        <v>12</v>
      </c>
      <c r="I184" s="47" t="n">
        <f aca="false">E184*F184*(1-G184/100)*(1+H184/100)</f>
        <v>7.448</v>
      </c>
      <c r="J184" s="28" t="s">
        <v>34</v>
      </c>
      <c r="K184" s="28" t="s">
        <v>82</v>
      </c>
      <c r="L184" s="46" t="s">
        <v>91</v>
      </c>
      <c r="M184" s="47" t="n">
        <f aca="false">F184*(1-G184/100)-1.4</f>
        <v>1.925</v>
      </c>
      <c r="N184" s="47" t="n">
        <f aca="false">M184*E184</f>
        <v>3.85</v>
      </c>
    </row>
    <row r="185" customFormat="false" ht="16.5" hidden="false" customHeight="true" outlineLevel="0" collapsed="false">
      <c r="A185" s="42" t="n">
        <v>45673</v>
      </c>
      <c r="B185" s="24" t="s">
        <v>283</v>
      </c>
      <c r="C185" s="43" t="s">
        <v>93</v>
      </c>
      <c r="D185" s="43" t="s">
        <v>81</v>
      </c>
      <c r="E185" s="24" t="n">
        <v>3</v>
      </c>
      <c r="F185" s="44" t="n">
        <v>3</v>
      </c>
      <c r="G185" s="24" t="n">
        <v>5</v>
      </c>
      <c r="H185" s="24" t="n">
        <v>12</v>
      </c>
      <c r="I185" s="44" t="n">
        <f aca="false">E185*F185*(1-G185/100)*(1+H185/100)</f>
        <v>9.576</v>
      </c>
      <c r="J185" s="24" t="s">
        <v>28</v>
      </c>
      <c r="K185" s="24" t="s">
        <v>101</v>
      </c>
      <c r="L185" s="43" t="s">
        <v>111</v>
      </c>
      <c r="M185" s="44" t="n">
        <f aca="false">F185*(1-G185/100)-1.5</f>
        <v>1.35</v>
      </c>
      <c r="N185" s="44" t="n">
        <f aca="false">M185*E185</f>
        <v>4.05</v>
      </c>
    </row>
    <row r="186" customFormat="false" ht="16.5" hidden="false" customHeight="true" outlineLevel="0" collapsed="false">
      <c r="A186" s="45" t="n">
        <v>45673</v>
      </c>
      <c r="B186" s="28" t="s">
        <v>284</v>
      </c>
      <c r="C186" s="46" t="s">
        <v>35</v>
      </c>
      <c r="D186" s="46" t="s">
        <v>81</v>
      </c>
      <c r="E186" s="28" t="n">
        <v>5</v>
      </c>
      <c r="F186" s="47" t="n">
        <v>1.5</v>
      </c>
      <c r="G186" s="28" t="n">
        <v>0</v>
      </c>
      <c r="H186" s="28" t="n">
        <v>12</v>
      </c>
      <c r="I186" s="47" t="n">
        <f aca="false">E186*F186*(1-G186/100)*(1+H186/100)</f>
        <v>8.4</v>
      </c>
      <c r="J186" s="28" t="s">
        <v>24</v>
      </c>
      <c r="K186" s="28" t="s">
        <v>85</v>
      </c>
      <c r="L186" s="46" t="s">
        <v>106</v>
      </c>
      <c r="M186" s="47" t="n">
        <f aca="false">F186*(1-G186/100)-0.6</f>
        <v>0.9</v>
      </c>
      <c r="N186" s="47" t="n">
        <f aca="false">M186*E186</f>
        <v>4.5</v>
      </c>
    </row>
    <row r="187" customFormat="false" ht="16.5" hidden="false" customHeight="true" outlineLevel="0" collapsed="false">
      <c r="A187" s="42" t="n">
        <v>45673</v>
      </c>
      <c r="B187" s="24" t="s">
        <v>285</v>
      </c>
      <c r="C187" s="43" t="s">
        <v>109</v>
      </c>
      <c r="D187" s="43" t="s">
        <v>110</v>
      </c>
      <c r="E187" s="24" t="n">
        <v>3</v>
      </c>
      <c r="F187" s="44" t="n">
        <v>3.5</v>
      </c>
      <c r="G187" s="24" t="n">
        <v>5</v>
      </c>
      <c r="H187" s="24" t="n">
        <v>12</v>
      </c>
      <c r="I187" s="44" t="n">
        <f aca="false">E187*F187*(1-G187/100)*(1+H187/100)</f>
        <v>11.172</v>
      </c>
      <c r="J187" s="24" t="s">
        <v>28</v>
      </c>
      <c r="K187" s="24" t="s">
        <v>85</v>
      </c>
      <c r="L187" s="43" t="s">
        <v>122</v>
      </c>
      <c r="M187" s="44" t="n">
        <f aca="false">F187*(1-G187/100)-1.4</f>
        <v>1.925</v>
      </c>
      <c r="N187" s="44" t="n">
        <f aca="false">M187*E187</f>
        <v>5.775</v>
      </c>
    </row>
    <row r="188" customFormat="false" ht="16.5" hidden="false" customHeight="true" outlineLevel="0" collapsed="false">
      <c r="A188" s="45" t="n">
        <v>45673</v>
      </c>
      <c r="B188" s="28" t="s">
        <v>286</v>
      </c>
      <c r="C188" s="46" t="s">
        <v>33</v>
      </c>
      <c r="D188" s="46" t="s">
        <v>104</v>
      </c>
      <c r="E188" s="28" t="n">
        <v>4</v>
      </c>
      <c r="F188" s="47" t="n">
        <v>5</v>
      </c>
      <c r="G188" s="28" t="n">
        <v>5</v>
      </c>
      <c r="H188" s="28" t="n">
        <v>12</v>
      </c>
      <c r="I188" s="47" t="n">
        <f aca="false">E188*F188*(1-G188/100)*(1+H188/100)</f>
        <v>21.28</v>
      </c>
      <c r="J188" s="28" t="s">
        <v>24</v>
      </c>
      <c r="K188" s="28" t="s">
        <v>82</v>
      </c>
      <c r="L188" s="46" t="s">
        <v>94</v>
      </c>
      <c r="M188" s="47" t="n">
        <f aca="false">F188*(1-G188/100)-2.5</f>
        <v>2.25</v>
      </c>
      <c r="N188" s="47" t="n">
        <f aca="false">M188*E188</f>
        <v>9</v>
      </c>
    </row>
    <row r="189" customFormat="false" ht="16.5" hidden="false" customHeight="true" outlineLevel="0" collapsed="false">
      <c r="A189" s="42" t="n">
        <v>45673</v>
      </c>
      <c r="B189" s="24" t="s">
        <v>287</v>
      </c>
      <c r="C189" s="43" t="s">
        <v>109</v>
      </c>
      <c r="D189" s="43" t="s">
        <v>110</v>
      </c>
      <c r="E189" s="24" t="n">
        <v>3</v>
      </c>
      <c r="F189" s="44" t="n">
        <v>3.5</v>
      </c>
      <c r="G189" s="24" t="n">
        <v>10</v>
      </c>
      <c r="H189" s="24" t="n">
        <v>12</v>
      </c>
      <c r="I189" s="44" t="n">
        <f aca="false">E189*F189*(1-G189/100)*(1+H189/100)</f>
        <v>10.584</v>
      </c>
      <c r="J189" s="24" t="s">
        <v>28</v>
      </c>
      <c r="K189" s="24" t="s">
        <v>97</v>
      </c>
      <c r="L189" s="43" t="s">
        <v>86</v>
      </c>
      <c r="M189" s="44" t="n">
        <f aca="false">F189*(1-G189/100)-1.4</f>
        <v>1.75</v>
      </c>
      <c r="N189" s="44" t="n">
        <f aca="false">M189*E189</f>
        <v>5.25</v>
      </c>
    </row>
    <row r="190" customFormat="false" ht="16.5" hidden="false" customHeight="true" outlineLevel="0" collapsed="false">
      <c r="A190" s="45" t="n">
        <v>45673</v>
      </c>
      <c r="B190" s="28" t="s">
        <v>288</v>
      </c>
      <c r="C190" s="46" t="s">
        <v>113</v>
      </c>
      <c r="D190" s="46" t="s">
        <v>96</v>
      </c>
      <c r="E190" s="28" t="n">
        <v>3</v>
      </c>
      <c r="F190" s="47" t="n">
        <v>6</v>
      </c>
      <c r="G190" s="28" t="n">
        <v>0</v>
      </c>
      <c r="H190" s="28" t="n">
        <v>12</v>
      </c>
      <c r="I190" s="47" t="n">
        <f aca="false">E190*F190*(1-G190/100)*(1+H190/100)</f>
        <v>20.16</v>
      </c>
      <c r="J190" s="28" t="s">
        <v>34</v>
      </c>
      <c r="K190" s="28" t="s">
        <v>101</v>
      </c>
      <c r="L190" s="46" t="s">
        <v>89</v>
      </c>
      <c r="M190" s="47" t="n">
        <f aca="false">F190*(1-G190/100)-2.8</f>
        <v>3.2</v>
      </c>
      <c r="N190" s="47" t="n">
        <f aca="false">M190*E190</f>
        <v>9.6</v>
      </c>
    </row>
    <row r="191" customFormat="false" ht="16.5" hidden="false" customHeight="true" outlineLevel="0" collapsed="false">
      <c r="A191" s="42" t="n">
        <v>45673</v>
      </c>
      <c r="B191" s="24" t="s">
        <v>289</v>
      </c>
      <c r="C191" s="43" t="s">
        <v>93</v>
      </c>
      <c r="D191" s="43" t="s">
        <v>81</v>
      </c>
      <c r="E191" s="24" t="n">
        <v>3</v>
      </c>
      <c r="F191" s="44" t="n">
        <v>3</v>
      </c>
      <c r="G191" s="24" t="n">
        <v>0</v>
      </c>
      <c r="H191" s="24" t="n">
        <v>12</v>
      </c>
      <c r="I191" s="44" t="n">
        <f aca="false">E191*F191*(1-G191/100)*(1+H191/100)</f>
        <v>10.08</v>
      </c>
      <c r="J191" s="24" t="s">
        <v>34</v>
      </c>
      <c r="K191" s="24" t="s">
        <v>97</v>
      </c>
      <c r="L191" s="43" t="s">
        <v>91</v>
      </c>
      <c r="M191" s="44" t="n">
        <f aca="false">F191*(1-G191/100)-1.5</f>
        <v>1.5</v>
      </c>
      <c r="N191" s="44" t="n">
        <f aca="false">M191*E191</f>
        <v>4.5</v>
      </c>
    </row>
    <row r="192" customFormat="false" ht="16.5" hidden="false" customHeight="true" outlineLevel="0" collapsed="false">
      <c r="A192" s="45" t="n">
        <v>45674</v>
      </c>
      <c r="B192" s="28" t="s">
        <v>290</v>
      </c>
      <c r="C192" s="46" t="s">
        <v>33</v>
      </c>
      <c r="D192" s="46" t="s">
        <v>104</v>
      </c>
      <c r="E192" s="28" t="n">
        <v>5</v>
      </c>
      <c r="F192" s="47" t="n">
        <v>5</v>
      </c>
      <c r="G192" s="28" t="n">
        <v>0</v>
      </c>
      <c r="H192" s="28" t="n">
        <v>12</v>
      </c>
      <c r="I192" s="47" t="n">
        <f aca="false">E192*F192*(1-G192/100)*(1+H192/100)</f>
        <v>28</v>
      </c>
      <c r="J192" s="28" t="s">
        <v>26</v>
      </c>
      <c r="K192" s="28" t="s">
        <v>101</v>
      </c>
      <c r="L192" s="46" t="s">
        <v>86</v>
      </c>
      <c r="M192" s="47" t="n">
        <f aca="false">F192*(1-G192/100)-2.5</f>
        <v>2.5</v>
      </c>
      <c r="N192" s="47" t="n">
        <f aca="false">M192*E192</f>
        <v>12.5</v>
      </c>
    </row>
    <row r="193" customFormat="false" ht="16.5" hidden="false" customHeight="true" outlineLevel="0" collapsed="false">
      <c r="A193" s="42" t="n">
        <v>45674</v>
      </c>
      <c r="B193" s="24" t="s">
        <v>291</v>
      </c>
      <c r="C193" s="43" t="s">
        <v>35</v>
      </c>
      <c r="D193" s="43" t="s">
        <v>81</v>
      </c>
      <c r="E193" s="24" t="n">
        <v>4</v>
      </c>
      <c r="F193" s="44" t="n">
        <v>1.5</v>
      </c>
      <c r="G193" s="24" t="n">
        <v>0</v>
      </c>
      <c r="H193" s="24" t="n">
        <v>12</v>
      </c>
      <c r="I193" s="44" t="n">
        <f aca="false">E193*F193*(1-G193/100)*(1+H193/100)</f>
        <v>6.72</v>
      </c>
      <c r="J193" s="24" t="s">
        <v>34</v>
      </c>
      <c r="K193" s="24" t="s">
        <v>97</v>
      </c>
      <c r="L193" s="43" t="s">
        <v>83</v>
      </c>
      <c r="M193" s="44" t="n">
        <f aca="false">F193*(1-G193/100)-0.6</f>
        <v>0.9</v>
      </c>
      <c r="N193" s="44" t="n">
        <f aca="false">M193*E193</f>
        <v>3.6</v>
      </c>
    </row>
    <row r="194" customFormat="false" ht="16.5" hidden="false" customHeight="true" outlineLevel="0" collapsed="false">
      <c r="A194" s="45" t="n">
        <v>45674</v>
      </c>
      <c r="B194" s="28" t="s">
        <v>292</v>
      </c>
      <c r="C194" s="46" t="s">
        <v>27</v>
      </c>
      <c r="D194" s="46" t="s">
        <v>81</v>
      </c>
      <c r="E194" s="28" t="n">
        <v>3</v>
      </c>
      <c r="F194" s="47" t="n">
        <v>4.5</v>
      </c>
      <c r="G194" s="28" t="n">
        <v>0</v>
      </c>
      <c r="H194" s="28" t="n">
        <v>12</v>
      </c>
      <c r="I194" s="47" t="n">
        <f aca="false">E194*F194*(1-G194/100)*(1+H194/100)</f>
        <v>15.12</v>
      </c>
      <c r="J194" s="28" t="s">
        <v>32</v>
      </c>
      <c r="K194" s="28" t="s">
        <v>82</v>
      </c>
      <c r="L194" s="46" t="s">
        <v>91</v>
      </c>
      <c r="M194" s="47" t="n">
        <f aca="false">F194*(1-G194/100)-2.8</f>
        <v>1.7</v>
      </c>
      <c r="N194" s="47" t="n">
        <f aca="false">M194*E194</f>
        <v>5.1</v>
      </c>
    </row>
    <row r="195" customFormat="false" ht="16.5" hidden="false" customHeight="true" outlineLevel="0" collapsed="false">
      <c r="A195" s="42" t="n">
        <v>45674</v>
      </c>
      <c r="B195" s="24" t="s">
        <v>293</v>
      </c>
      <c r="C195" s="43" t="s">
        <v>29</v>
      </c>
      <c r="D195" s="43" t="s">
        <v>104</v>
      </c>
      <c r="E195" s="24" t="n">
        <v>5</v>
      </c>
      <c r="F195" s="44" t="n">
        <v>2.5</v>
      </c>
      <c r="G195" s="24" t="n">
        <v>0</v>
      </c>
      <c r="H195" s="24" t="n">
        <v>12</v>
      </c>
      <c r="I195" s="44" t="n">
        <f aca="false">E195*F195*(1-G195/100)*(1+H195/100)</f>
        <v>14</v>
      </c>
      <c r="J195" s="24" t="s">
        <v>34</v>
      </c>
      <c r="K195" s="24" t="s">
        <v>88</v>
      </c>
      <c r="L195" s="43" t="s">
        <v>122</v>
      </c>
      <c r="M195" s="44" t="n">
        <f aca="false">F195*(1-G195/100)-1.1</f>
        <v>1.4</v>
      </c>
      <c r="N195" s="44" t="n">
        <f aca="false">M195*E195</f>
        <v>7</v>
      </c>
    </row>
    <row r="196" customFormat="false" ht="16.5" hidden="false" customHeight="true" outlineLevel="0" collapsed="false">
      <c r="A196" s="45" t="n">
        <v>45674</v>
      </c>
      <c r="B196" s="28" t="s">
        <v>294</v>
      </c>
      <c r="C196" s="46" t="s">
        <v>29</v>
      </c>
      <c r="D196" s="46" t="s">
        <v>104</v>
      </c>
      <c r="E196" s="28" t="n">
        <v>3</v>
      </c>
      <c r="F196" s="47" t="n">
        <v>2.5</v>
      </c>
      <c r="G196" s="28" t="n">
        <v>5</v>
      </c>
      <c r="H196" s="28" t="n">
        <v>12</v>
      </c>
      <c r="I196" s="47" t="n">
        <f aca="false">E196*F196*(1-G196/100)*(1+H196/100)</f>
        <v>7.98</v>
      </c>
      <c r="J196" s="28" t="s">
        <v>28</v>
      </c>
      <c r="K196" s="28" t="s">
        <v>97</v>
      </c>
      <c r="L196" s="46" t="s">
        <v>98</v>
      </c>
      <c r="M196" s="47" t="n">
        <f aca="false">F196*(1-G196/100)-1.1</f>
        <v>1.275</v>
      </c>
      <c r="N196" s="47" t="n">
        <f aca="false">M196*E196</f>
        <v>3.825</v>
      </c>
    </row>
    <row r="197" customFormat="false" ht="16.5" hidden="false" customHeight="true" outlineLevel="0" collapsed="false">
      <c r="A197" s="42" t="n">
        <v>45674</v>
      </c>
      <c r="B197" s="24" t="s">
        <v>295</v>
      </c>
      <c r="C197" s="43" t="s">
        <v>93</v>
      </c>
      <c r="D197" s="43" t="s">
        <v>81</v>
      </c>
      <c r="E197" s="24" t="n">
        <v>1</v>
      </c>
      <c r="F197" s="44" t="n">
        <v>3</v>
      </c>
      <c r="G197" s="24" t="n">
        <v>0</v>
      </c>
      <c r="H197" s="24" t="n">
        <v>12</v>
      </c>
      <c r="I197" s="44" t="n">
        <f aca="false">E197*F197*(1-G197/100)*(1+H197/100)</f>
        <v>3.36</v>
      </c>
      <c r="J197" s="24" t="s">
        <v>26</v>
      </c>
      <c r="K197" s="24" t="s">
        <v>85</v>
      </c>
      <c r="L197" s="43" t="s">
        <v>117</v>
      </c>
      <c r="M197" s="44" t="n">
        <f aca="false">F197*(1-G197/100)-1.5</f>
        <v>1.5</v>
      </c>
      <c r="N197" s="44" t="n">
        <f aca="false">M197*E197</f>
        <v>1.5</v>
      </c>
    </row>
    <row r="198" customFormat="false" ht="16.5" hidden="false" customHeight="true" outlineLevel="0" collapsed="false">
      <c r="A198" s="45" t="n">
        <v>45674</v>
      </c>
      <c r="B198" s="28" t="s">
        <v>296</v>
      </c>
      <c r="C198" s="46" t="s">
        <v>36</v>
      </c>
      <c r="D198" s="46" t="s">
        <v>96</v>
      </c>
      <c r="E198" s="28" t="n">
        <v>1</v>
      </c>
      <c r="F198" s="47" t="n">
        <v>8.5</v>
      </c>
      <c r="G198" s="28" t="n">
        <v>5</v>
      </c>
      <c r="H198" s="28" t="n">
        <v>12</v>
      </c>
      <c r="I198" s="47" t="n">
        <f aca="false">E198*F198*(1-G198/100)*(1+H198/100)</f>
        <v>9.044</v>
      </c>
      <c r="J198" s="28" t="s">
        <v>24</v>
      </c>
      <c r="K198" s="28" t="s">
        <v>97</v>
      </c>
      <c r="L198" s="46" t="s">
        <v>117</v>
      </c>
      <c r="M198" s="47" t="n">
        <f aca="false">F198*(1-G198/100)-4.2</f>
        <v>3.875</v>
      </c>
      <c r="N198" s="47" t="n">
        <f aca="false">M198*E198</f>
        <v>3.875</v>
      </c>
    </row>
    <row r="199" customFormat="false" ht="16.5" hidden="false" customHeight="true" outlineLevel="0" collapsed="false">
      <c r="A199" s="42" t="n">
        <v>45674</v>
      </c>
      <c r="B199" s="24" t="s">
        <v>297</v>
      </c>
      <c r="C199" s="43" t="s">
        <v>27</v>
      </c>
      <c r="D199" s="43" t="s">
        <v>81</v>
      </c>
      <c r="E199" s="24" t="n">
        <v>4</v>
      </c>
      <c r="F199" s="44" t="n">
        <v>4.5</v>
      </c>
      <c r="G199" s="24" t="n">
        <v>0</v>
      </c>
      <c r="H199" s="24" t="n">
        <v>12</v>
      </c>
      <c r="I199" s="44" t="n">
        <f aca="false">E199*F199*(1-G199/100)*(1+H199/100)</f>
        <v>20.16</v>
      </c>
      <c r="J199" s="24" t="s">
        <v>28</v>
      </c>
      <c r="K199" s="24" t="s">
        <v>88</v>
      </c>
      <c r="L199" s="43" t="s">
        <v>94</v>
      </c>
      <c r="M199" s="44" t="n">
        <f aca="false">F199*(1-G199/100)-2.8</f>
        <v>1.7</v>
      </c>
      <c r="N199" s="44" t="n">
        <f aca="false">M199*E199</f>
        <v>6.8</v>
      </c>
    </row>
    <row r="200" customFormat="false" ht="16.5" hidden="false" customHeight="true" outlineLevel="0" collapsed="false">
      <c r="A200" s="45" t="n">
        <v>45674</v>
      </c>
      <c r="B200" s="28" t="s">
        <v>298</v>
      </c>
      <c r="C200" s="46" t="s">
        <v>36</v>
      </c>
      <c r="D200" s="46" t="s">
        <v>96</v>
      </c>
      <c r="E200" s="28" t="n">
        <v>1</v>
      </c>
      <c r="F200" s="47" t="n">
        <v>8.5</v>
      </c>
      <c r="G200" s="28" t="n">
        <v>0</v>
      </c>
      <c r="H200" s="28" t="n">
        <v>12</v>
      </c>
      <c r="I200" s="47" t="n">
        <f aca="false">E200*F200*(1-G200/100)*(1+H200/100)</f>
        <v>9.52</v>
      </c>
      <c r="J200" s="28" t="s">
        <v>32</v>
      </c>
      <c r="K200" s="28" t="s">
        <v>101</v>
      </c>
      <c r="L200" s="46" t="s">
        <v>89</v>
      </c>
      <c r="M200" s="47" t="n">
        <f aca="false">F200*(1-G200/100)-4.2</f>
        <v>4.3</v>
      </c>
      <c r="N200" s="47" t="n">
        <f aca="false">M200*E200</f>
        <v>4.3</v>
      </c>
    </row>
    <row r="201" customFormat="false" ht="16.5" hidden="false" customHeight="true" outlineLevel="0" collapsed="false">
      <c r="A201" s="42" t="n">
        <v>45674</v>
      </c>
      <c r="B201" s="24" t="s">
        <v>299</v>
      </c>
      <c r="C201" s="43" t="s">
        <v>124</v>
      </c>
      <c r="D201" s="43" t="s">
        <v>96</v>
      </c>
      <c r="E201" s="24" t="n">
        <v>3</v>
      </c>
      <c r="F201" s="44" t="n">
        <v>4</v>
      </c>
      <c r="G201" s="24" t="n">
        <v>10</v>
      </c>
      <c r="H201" s="24" t="n">
        <v>12</v>
      </c>
      <c r="I201" s="44" t="n">
        <f aca="false">E201*F201*(1-G201/100)*(1+H201/100)</f>
        <v>12.096</v>
      </c>
      <c r="J201" s="24" t="s">
        <v>26</v>
      </c>
      <c r="K201" s="24" t="s">
        <v>101</v>
      </c>
      <c r="L201" s="43" t="s">
        <v>111</v>
      </c>
      <c r="M201" s="44" t="n">
        <f aca="false">F201*(1-G201/100)-1.8</f>
        <v>1.8</v>
      </c>
      <c r="N201" s="44" t="n">
        <f aca="false">M201*E201</f>
        <v>5.4</v>
      </c>
    </row>
    <row r="202" customFormat="false" ht="16.5" hidden="false" customHeight="true" outlineLevel="0" collapsed="false">
      <c r="A202" s="45" t="n">
        <v>45674</v>
      </c>
      <c r="B202" s="28" t="s">
        <v>300</v>
      </c>
      <c r="C202" s="46" t="s">
        <v>35</v>
      </c>
      <c r="D202" s="46" t="s">
        <v>81</v>
      </c>
      <c r="E202" s="28" t="n">
        <v>4</v>
      </c>
      <c r="F202" s="47" t="n">
        <v>1.5</v>
      </c>
      <c r="G202" s="28" t="n">
        <v>0</v>
      </c>
      <c r="H202" s="28" t="n">
        <v>12</v>
      </c>
      <c r="I202" s="47" t="n">
        <f aca="false">E202*F202*(1-G202/100)*(1+H202/100)</f>
        <v>6.72</v>
      </c>
      <c r="J202" s="28" t="s">
        <v>26</v>
      </c>
      <c r="K202" s="28" t="s">
        <v>101</v>
      </c>
      <c r="L202" s="46" t="s">
        <v>86</v>
      </c>
      <c r="M202" s="47" t="n">
        <f aca="false">F202*(1-G202/100)-0.6</f>
        <v>0.9</v>
      </c>
      <c r="N202" s="47" t="n">
        <f aca="false">M202*E202</f>
        <v>3.6</v>
      </c>
    </row>
    <row r="203" customFormat="false" ht="16.5" hidden="false" customHeight="true" outlineLevel="0" collapsed="false">
      <c r="A203" s="42" t="n">
        <v>45674</v>
      </c>
      <c r="B203" s="24" t="s">
        <v>301</v>
      </c>
      <c r="C203" s="43" t="s">
        <v>35</v>
      </c>
      <c r="D203" s="43" t="s">
        <v>81</v>
      </c>
      <c r="E203" s="24" t="n">
        <v>4</v>
      </c>
      <c r="F203" s="44" t="n">
        <v>1.5</v>
      </c>
      <c r="G203" s="24" t="n">
        <v>0</v>
      </c>
      <c r="H203" s="24" t="n">
        <v>12</v>
      </c>
      <c r="I203" s="44" t="n">
        <f aca="false">E203*F203*(1-G203/100)*(1+H203/100)</f>
        <v>6.72</v>
      </c>
      <c r="J203" s="24" t="s">
        <v>24</v>
      </c>
      <c r="K203" s="24" t="s">
        <v>82</v>
      </c>
      <c r="L203" s="43" t="s">
        <v>117</v>
      </c>
      <c r="M203" s="44" t="n">
        <f aca="false">F203*(1-G203/100)-0.6</f>
        <v>0.9</v>
      </c>
      <c r="N203" s="44" t="n">
        <f aca="false">M203*E203</f>
        <v>3.6</v>
      </c>
    </row>
    <row r="204" customFormat="false" ht="16.5" hidden="false" customHeight="true" outlineLevel="0" collapsed="false">
      <c r="A204" s="45" t="n">
        <v>45674</v>
      </c>
      <c r="B204" s="28" t="s">
        <v>302</v>
      </c>
      <c r="C204" s="46" t="s">
        <v>29</v>
      </c>
      <c r="D204" s="46" t="s">
        <v>104</v>
      </c>
      <c r="E204" s="28" t="n">
        <v>4</v>
      </c>
      <c r="F204" s="47" t="n">
        <v>2.5</v>
      </c>
      <c r="G204" s="28" t="n">
        <v>5</v>
      </c>
      <c r="H204" s="28" t="n">
        <v>12</v>
      </c>
      <c r="I204" s="47" t="n">
        <f aca="false">E204*F204*(1-G204/100)*(1+H204/100)</f>
        <v>10.64</v>
      </c>
      <c r="J204" s="28" t="s">
        <v>28</v>
      </c>
      <c r="K204" s="28" t="s">
        <v>88</v>
      </c>
      <c r="L204" s="46" t="s">
        <v>94</v>
      </c>
      <c r="M204" s="47" t="n">
        <f aca="false">F204*(1-G204/100)-1.1</f>
        <v>1.275</v>
      </c>
      <c r="N204" s="47" t="n">
        <f aca="false">M204*E204</f>
        <v>5.1</v>
      </c>
    </row>
    <row r="205" customFormat="false" ht="16.5" hidden="false" customHeight="true" outlineLevel="0" collapsed="false">
      <c r="A205" s="42" t="n">
        <v>45674</v>
      </c>
      <c r="B205" s="24" t="s">
        <v>303</v>
      </c>
      <c r="C205" s="43" t="s">
        <v>109</v>
      </c>
      <c r="D205" s="43" t="s">
        <v>110</v>
      </c>
      <c r="E205" s="24" t="n">
        <v>2</v>
      </c>
      <c r="F205" s="44" t="n">
        <v>3.5</v>
      </c>
      <c r="G205" s="24" t="n">
        <v>5</v>
      </c>
      <c r="H205" s="24" t="n">
        <v>12</v>
      </c>
      <c r="I205" s="44" t="n">
        <f aca="false">E205*F205*(1-G205/100)*(1+H205/100)</f>
        <v>7.448</v>
      </c>
      <c r="J205" s="24" t="s">
        <v>24</v>
      </c>
      <c r="K205" s="24" t="s">
        <v>85</v>
      </c>
      <c r="L205" s="43" t="s">
        <v>89</v>
      </c>
      <c r="M205" s="44" t="n">
        <f aca="false">F205*(1-G205/100)-1.4</f>
        <v>1.925</v>
      </c>
      <c r="N205" s="44" t="n">
        <f aca="false">M205*E205</f>
        <v>3.85</v>
      </c>
    </row>
    <row r="206" customFormat="false" ht="16.5" hidden="false" customHeight="true" outlineLevel="0" collapsed="false">
      <c r="A206" s="45" t="n">
        <v>45674</v>
      </c>
      <c r="B206" s="28" t="s">
        <v>304</v>
      </c>
      <c r="C206" s="46" t="s">
        <v>113</v>
      </c>
      <c r="D206" s="46" t="s">
        <v>96</v>
      </c>
      <c r="E206" s="28" t="n">
        <v>3</v>
      </c>
      <c r="F206" s="47" t="n">
        <v>6</v>
      </c>
      <c r="G206" s="28" t="n">
        <v>0</v>
      </c>
      <c r="H206" s="28" t="n">
        <v>12</v>
      </c>
      <c r="I206" s="47" t="n">
        <f aca="false">E206*F206*(1-G206/100)*(1+H206/100)</f>
        <v>20.16</v>
      </c>
      <c r="J206" s="28" t="s">
        <v>28</v>
      </c>
      <c r="K206" s="28" t="s">
        <v>82</v>
      </c>
      <c r="L206" s="46" t="s">
        <v>111</v>
      </c>
      <c r="M206" s="47" t="n">
        <f aca="false">F206*(1-G206/100)-2.8</f>
        <v>3.2</v>
      </c>
      <c r="N206" s="47" t="n">
        <f aca="false">M206*E206</f>
        <v>9.6</v>
      </c>
    </row>
    <row r="207" customFormat="false" ht="16.5" hidden="false" customHeight="true" outlineLevel="0" collapsed="false">
      <c r="A207" s="42" t="n">
        <v>45675</v>
      </c>
      <c r="B207" s="24" t="s">
        <v>305</v>
      </c>
      <c r="C207" s="43" t="s">
        <v>33</v>
      </c>
      <c r="D207" s="43" t="s">
        <v>104</v>
      </c>
      <c r="E207" s="24" t="n">
        <v>3</v>
      </c>
      <c r="F207" s="44" t="n">
        <v>5</v>
      </c>
      <c r="G207" s="24" t="n">
        <v>0</v>
      </c>
      <c r="H207" s="24" t="n">
        <v>12</v>
      </c>
      <c r="I207" s="44" t="n">
        <f aca="false">E207*F207*(1-G207/100)*(1+H207/100)</f>
        <v>16.8</v>
      </c>
      <c r="J207" s="24" t="s">
        <v>28</v>
      </c>
      <c r="K207" s="24" t="s">
        <v>88</v>
      </c>
      <c r="L207" s="43" t="s">
        <v>106</v>
      </c>
      <c r="M207" s="44" t="n">
        <f aca="false">F207*(1-G207/100)-2.5</f>
        <v>2.5</v>
      </c>
      <c r="N207" s="44" t="n">
        <f aca="false">M207*E207</f>
        <v>7.5</v>
      </c>
    </row>
    <row r="208" customFormat="false" ht="16.5" hidden="false" customHeight="true" outlineLevel="0" collapsed="false">
      <c r="A208" s="45" t="n">
        <v>45675</v>
      </c>
      <c r="B208" s="28" t="s">
        <v>306</v>
      </c>
      <c r="C208" s="46" t="s">
        <v>25</v>
      </c>
      <c r="D208" s="46" t="s">
        <v>81</v>
      </c>
      <c r="E208" s="28" t="n">
        <v>4</v>
      </c>
      <c r="F208" s="47" t="n">
        <v>3.5</v>
      </c>
      <c r="G208" s="28" t="n">
        <v>0</v>
      </c>
      <c r="H208" s="28" t="n">
        <v>12</v>
      </c>
      <c r="I208" s="47" t="n">
        <f aca="false">E208*F208*(1-G208/100)*(1+H208/100)</f>
        <v>15.68</v>
      </c>
      <c r="J208" s="28" t="s">
        <v>26</v>
      </c>
      <c r="K208" s="28" t="s">
        <v>101</v>
      </c>
      <c r="L208" s="46" t="s">
        <v>111</v>
      </c>
      <c r="M208" s="47" t="n">
        <f aca="false">F208*(1-G208/100)-2.2</f>
        <v>1.3</v>
      </c>
      <c r="N208" s="47" t="n">
        <f aca="false">M208*E208</f>
        <v>5.2</v>
      </c>
    </row>
    <row r="209" customFormat="false" ht="16.5" hidden="false" customHeight="true" outlineLevel="0" collapsed="false">
      <c r="A209" s="42" t="n">
        <v>45675</v>
      </c>
      <c r="B209" s="24" t="s">
        <v>307</v>
      </c>
      <c r="C209" s="43" t="s">
        <v>27</v>
      </c>
      <c r="D209" s="43" t="s">
        <v>81</v>
      </c>
      <c r="E209" s="24" t="n">
        <v>2</v>
      </c>
      <c r="F209" s="44" t="n">
        <v>4.5</v>
      </c>
      <c r="G209" s="24" t="n">
        <v>10</v>
      </c>
      <c r="H209" s="24" t="n">
        <v>12</v>
      </c>
      <c r="I209" s="44" t="n">
        <f aca="false">E209*F209*(1-G209/100)*(1+H209/100)</f>
        <v>9.072</v>
      </c>
      <c r="J209" s="24" t="s">
        <v>24</v>
      </c>
      <c r="K209" s="24" t="s">
        <v>101</v>
      </c>
      <c r="L209" s="43" t="s">
        <v>106</v>
      </c>
      <c r="M209" s="44" t="n">
        <f aca="false">F209*(1-G209/100)-2.8</f>
        <v>1.25</v>
      </c>
      <c r="N209" s="44" t="n">
        <f aca="false">M209*E209</f>
        <v>2.5</v>
      </c>
    </row>
    <row r="210" customFormat="false" ht="16.5" hidden="false" customHeight="true" outlineLevel="0" collapsed="false">
      <c r="A210" s="45" t="n">
        <v>45675</v>
      </c>
      <c r="B210" s="28" t="s">
        <v>308</v>
      </c>
      <c r="C210" s="46" t="s">
        <v>33</v>
      </c>
      <c r="D210" s="46" t="s">
        <v>104</v>
      </c>
      <c r="E210" s="28" t="n">
        <v>2</v>
      </c>
      <c r="F210" s="47" t="n">
        <v>5</v>
      </c>
      <c r="G210" s="28" t="n">
        <v>10</v>
      </c>
      <c r="H210" s="28" t="n">
        <v>12</v>
      </c>
      <c r="I210" s="47" t="n">
        <f aca="false">E210*F210*(1-G210/100)*(1+H210/100)</f>
        <v>10.08</v>
      </c>
      <c r="J210" s="28" t="s">
        <v>26</v>
      </c>
      <c r="K210" s="28" t="s">
        <v>101</v>
      </c>
      <c r="L210" s="46" t="s">
        <v>117</v>
      </c>
      <c r="M210" s="47" t="n">
        <f aca="false">F210*(1-G210/100)-2.5</f>
        <v>2</v>
      </c>
      <c r="N210" s="47" t="n">
        <f aca="false">M210*E210</f>
        <v>4</v>
      </c>
    </row>
    <row r="211" customFormat="false" ht="16.5" hidden="false" customHeight="true" outlineLevel="0" collapsed="false">
      <c r="A211" s="42" t="n">
        <v>45675</v>
      </c>
      <c r="B211" s="24" t="s">
        <v>309</v>
      </c>
      <c r="C211" s="43" t="s">
        <v>33</v>
      </c>
      <c r="D211" s="43" t="s">
        <v>104</v>
      </c>
      <c r="E211" s="24" t="n">
        <v>5</v>
      </c>
      <c r="F211" s="44" t="n">
        <v>5</v>
      </c>
      <c r="G211" s="24" t="n">
        <v>0</v>
      </c>
      <c r="H211" s="24" t="n">
        <v>12</v>
      </c>
      <c r="I211" s="44" t="n">
        <f aca="false">E211*F211*(1-G211/100)*(1+H211/100)</f>
        <v>28</v>
      </c>
      <c r="J211" s="24" t="s">
        <v>26</v>
      </c>
      <c r="K211" s="24" t="s">
        <v>97</v>
      </c>
      <c r="L211" s="43" t="s">
        <v>83</v>
      </c>
      <c r="M211" s="44" t="n">
        <f aca="false">F211*(1-G211/100)-2.5</f>
        <v>2.5</v>
      </c>
      <c r="N211" s="44" t="n">
        <f aca="false">M211*E211</f>
        <v>12.5</v>
      </c>
    </row>
    <row r="212" customFormat="false" ht="16.5" hidden="false" customHeight="true" outlineLevel="0" collapsed="false">
      <c r="A212" s="45" t="n">
        <v>45675</v>
      </c>
      <c r="B212" s="28" t="s">
        <v>310</v>
      </c>
      <c r="C212" s="46" t="s">
        <v>109</v>
      </c>
      <c r="D212" s="46" t="s">
        <v>110</v>
      </c>
      <c r="E212" s="28" t="n">
        <v>1</v>
      </c>
      <c r="F212" s="47" t="n">
        <v>3.5</v>
      </c>
      <c r="G212" s="28" t="n">
        <v>0</v>
      </c>
      <c r="H212" s="28" t="n">
        <v>12</v>
      </c>
      <c r="I212" s="47" t="n">
        <f aca="false">E212*F212*(1-G212/100)*(1+H212/100)</f>
        <v>3.92</v>
      </c>
      <c r="J212" s="28" t="s">
        <v>26</v>
      </c>
      <c r="K212" s="28" t="s">
        <v>82</v>
      </c>
      <c r="L212" s="46" t="s">
        <v>117</v>
      </c>
      <c r="M212" s="47" t="n">
        <f aca="false">F212*(1-G212/100)-1.4</f>
        <v>2.1</v>
      </c>
      <c r="N212" s="47" t="n">
        <f aca="false">M212*E212</f>
        <v>2.1</v>
      </c>
    </row>
    <row r="213" customFormat="false" ht="16.5" hidden="false" customHeight="true" outlineLevel="0" collapsed="false">
      <c r="A213" s="42" t="n">
        <v>45675</v>
      </c>
      <c r="B213" s="24" t="s">
        <v>311</v>
      </c>
      <c r="C213" s="43" t="s">
        <v>35</v>
      </c>
      <c r="D213" s="43" t="s">
        <v>81</v>
      </c>
      <c r="E213" s="24" t="n">
        <v>2</v>
      </c>
      <c r="F213" s="44" t="n">
        <v>1.5</v>
      </c>
      <c r="G213" s="24" t="n">
        <v>0</v>
      </c>
      <c r="H213" s="24" t="n">
        <v>12</v>
      </c>
      <c r="I213" s="44" t="n">
        <f aca="false">E213*F213*(1-G213/100)*(1+H213/100)</f>
        <v>3.36</v>
      </c>
      <c r="J213" s="24" t="s">
        <v>24</v>
      </c>
      <c r="K213" s="24" t="s">
        <v>82</v>
      </c>
      <c r="L213" s="43" t="s">
        <v>86</v>
      </c>
      <c r="M213" s="44" t="n">
        <f aca="false">F213*(1-G213/100)-0.6</f>
        <v>0.9</v>
      </c>
      <c r="N213" s="44" t="n">
        <f aca="false">M213*E213</f>
        <v>1.8</v>
      </c>
    </row>
    <row r="214" customFormat="false" ht="16.5" hidden="false" customHeight="true" outlineLevel="0" collapsed="false">
      <c r="A214" s="45" t="n">
        <v>45675</v>
      </c>
      <c r="B214" s="28" t="s">
        <v>312</v>
      </c>
      <c r="C214" s="46" t="s">
        <v>36</v>
      </c>
      <c r="D214" s="46" t="s">
        <v>96</v>
      </c>
      <c r="E214" s="28" t="n">
        <v>2</v>
      </c>
      <c r="F214" s="47" t="n">
        <v>8.5</v>
      </c>
      <c r="G214" s="28" t="n">
        <v>10</v>
      </c>
      <c r="H214" s="28" t="n">
        <v>12</v>
      </c>
      <c r="I214" s="47" t="n">
        <f aca="false">E214*F214*(1-G214/100)*(1+H214/100)</f>
        <v>17.136</v>
      </c>
      <c r="J214" s="28" t="s">
        <v>28</v>
      </c>
      <c r="K214" s="28" t="s">
        <v>101</v>
      </c>
      <c r="L214" s="46" t="s">
        <v>83</v>
      </c>
      <c r="M214" s="47" t="n">
        <f aca="false">F214*(1-G214/100)-4.2</f>
        <v>3.45</v>
      </c>
      <c r="N214" s="47" t="n">
        <f aca="false">M214*E214</f>
        <v>6.9</v>
      </c>
    </row>
    <row r="215" customFormat="false" ht="16.5" hidden="false" customHeight="true" outlineLevel="0" collapsed="false">
      <c r="A215" s="42" t="n">
        <v>45675</v>
      </c>
      <c r="B215" s="24" t="s">
        <v>313</v>
      </c>
      <c r="C215" s="43" t="s">
        <v>35</v>
      </c>
      <c r="D215" s="43" t="s">
        <v>81</v>
      </c>
      <c r="E215" s="24" t="n">
        <v>1</v>
      </c>
      <c r="F215" s="44" t="n">
        <v>1.5</v>
      </c>
      <c r="G215" s="24" t="n">
        <v>0</v>
      </c>
      <c r="H215" s="24" t="n">
        <v>12</v>
      </c>
      <c r="I215" s="44" t="n">
        <f aca="false">E215*F215*(1-G215/100)*(1+H215/100)</f>
        <v>1.68</v>
      </c>
      <c r="J215" s="24" t="s">
        <v>32</v>
      </c>
      <c r="K215" s="24" t="s">
        <v>88</v>
      </c>
      <c r="L215" s="43" t="s">
        <v>98</v>
      </c>
      <c r="M215" s="44" t="n">
        <f aca="false">F215*(1-G215/100)-0.6</f>
        <v>0.9</v>
      </c>
      <c r="N215" s="44" t="n">
        <f aca="false">M215*E215</f>
        <v>0.9</v>
      </c>
    </row>
    <row r="216" customFormat="false" ht="16.5" hidden="false" customHeight="true" outlineLevel="0" collapsed="false">
      <c r="A216" s="45" t="n">
        <v>45675</v>
      </c>
      <c r="B216" s="28" t="s">
        <v>314</v>
      </c>
      <c r="C216" s="46" t="s">
        <v>27</v>
      </c>
      <c r="D216" s="46" t="s">
        <v>81</v>
      </c>
      <c r="E216" s="28" t="n">
        <v>4</v>
      </c>
      <c r="F216" s="47" t="n">
        <v>4.5</v>
      </c>
      <c r="G216" s="28" t="n">
        <v>5</v>
      </c>
      <c r="H216" s="28" t="n">
        <v>12</v>
      </c>
      <c r="I216" s="47" t="n">
        <f aca="false">E216*F216*(1-G216/100)*(1+H216/100)</f>
        <v>19.152</v>
      </c>
      <c r="J216" s="28" t="s">
        <v>28</v>
      </c>
      <c r="K216" s="28" t="s">
        <v>88</v>
      </c>
      <c r="L216" s="46" t="s">
        <v>89</v>
      </c>
      <c r="M216" s="47" t="n">
        <f aca="false">F216*(1-G216/100)-2.8</f>
        <v>1.475</v>
      </c>
      <c r="N216" s="47" t="n">
        <f aca="false">M216*E216</f>
        <v>5.9</v>
      </c>
    </row>
    <row r="217" customFormat="false" ht="16.5" hidden="false" customHeight="true" outlineLevel="0" collapsed="false">
      <c r="A217" s="42" t="n">
        <v>45675</v>
      </c>
      <c r="B217" s="24" t="s">
        <v>315</v>
      </c>
      <c r="C217" s="43" t="s">
        <v>27</v>
      </c>
      <c r="D217" s="43" t="s">
        <v>81</v>
      </c>
      <c r="E217" s="24" t="n">
        <v>4</v>
      </c>
      <c r="F217" s="44" t="n">
        <v>4.5</v>
      </c>
      <c r="G217" s="24" t="n">
        <v>10</v>
      </c>
      <c r="H217" s="24" t="n">
        <v>12</v>
      </c>
      <c r="I217" s="44" t="n">
        <f aca="false">E217*F217*(1-G217/100)*(1+H217/100)</f>
        <v>18.144</v>
      </c>
      <c r="J217" s="24" t="s">
        <v>26</v>
      </c>
      <c r="K217" s="24" t="s">
        <v>88</v>
      </c>
      <c r="L217" s="43" t="s">
        <v>86</v>
      </c>
      <c r="M217" s="44" t="n">
        <f aca="false">F217*(1-G217/100)-2.8</f>
        <v>1.25</v>
      </c>
      <c r="N217" s="44" t="n">
        <f aca="false">M217*E217</f>
        <v>5</v>
      </c>
    </row>
    <row r="218" customFormat="false" ht="16.5" hidden="false" customHeight="true" outlineLevel="0" collapsed="false">
      <c r="A218" s="45" t="n">
        <v>45675</v>
      </c>
      <c r="B218" s="28" t="s">
        <v>316</v>
      </c>
      <c r="C218" s="46" t="s">
        <v>124</v>
      </c>
      <c r="D218" s="46" t="s">
        <v>96</v>
      </c>
      <c r="E218" s="28" t="n">
        <v>3</v>
      </c>
      <c r="F218" s="47" t="n">
        <v>4</v>
      </c>
      <c r="G218" s="28" t="n">
        <v>5</v>
      </c>
      <c r="H218" s="28" t="n">
        <v>12</v>
      </c>
      <c r="I218" s="47" t="n">
        <f aca="false">E218*F218*(1-G218/100)*(1+H218/100)</f>
        <v>12.768</v>
      </c>
      <c r="J218" s="28" t="s">
        <v>24</v>
      </c>
      <c r="K218" s="28" t="s">
        <v>101</v>
      </c>
      <c r="L218" s="46" t="s">
        <v>111</v>
      </c>
      <c r="M218" s="47" t="n">
        <f aca="false">F218*(1-G218/100)-1.8</f>
        <v>2</v>
      </c>
      <c r="N218" s="47" t="n">
        <f aca="false">M218*E218</f>
        <v>6</v>
      </c>
    </row>
    <row r="219" customFormat="false" ht="16.5" hidden="false" customHeight="true" outlineLevel="0" collapsed="false">
      <c r="A219" s="42" t="n">
        <v>45676</v>
      </c>
      <c r="B219" s="24" t="s">
        <v>317</v>
      </c>
      <c r="C219" s="43" t="s">
        <v>113</v>
      </c>
      <c r="D219" s="43" t="s">
        <v>96</v>
      </c>
      <c r="E219" s="24" t="n">
        <v>1</v>
      </c>
      <c r="F219" s="44" t="n">
        <v>6</v>
      </c>
      <c r="G219" s="24" t="n">
        <v>5</v>
      </c>
      <c r="H219" s="24" t="n">
        <v>12</v>
      </c>
      <c r="I219" s="44" t="n">
        <f aca="false">E219*F219*(1-G219/100)*(1+H219/100)</f>
        <v>6.384</v>
      </c>
      <c r="J219" s="24" t="s">
        <v>32</v>
      </c>
      <c r="K219" s="24" t="s">
        <v>101</v>
      </c>
      <c r="L219" s="43" t="s">
        <v>98</v>
      </c>
      <c r="M219" s="44" t="n">
        <f aca="false">F219*(1-G219/100)-2.8</f>
        <v>2.9</v>
      </c>
      <c r="N219" s="44" t="n">
        <f aca="false">M219*E219</f>
        <v>2.9</v>
      </c>
    </row>
    <row r="220" customFormat="false" ht="16.5" hidden="false" customHeight="true" outlineLevel="0" collapsed="false">
      <c r="A220" s="45" t="n">
        <v>45676</v>
      </c>
      <c r="B220" s="28" t="s">
        <v>318</v>
      </c>
      <c r="C220" s="46" t="s">
        <v>36</v>
      </c>
      <c r="D220" s="46" t="s">
        <v>96</v>
      </c>
      <c r="E220" s="28" t="n">
        <v>5</v>
      </c>
      <c r="F220" s="47" t="n">
        <v>8.5</v>
      </c>
      <c r="G220" s="28" t="n">
        <v>0</v>
      </c>
      <c r="H220" s="28" t="n">
        <v>12</v>
      </c>
      <c r="I220" s="47" t="n">
        <f aca="false">E220*F220*(1-G220/100)*(1+H220/100)</f>
        <v>47.6</v>
      </c>
      <c r="J220" s="28" t="s">
        <v>24</v>
      </c>
      <c r="K220" s="28" t="s">
        <v>82</v>
      </c>
      <c r="L220" s="46" t="s">
        <v>122</v>
      </c>
      <c r="M220" s="47" t="n">
        <f aca="false">F220*(1-G220/100)-4.2</f>
        <v>4.3</v>
      </c>
      <c r="N220" s="47" t="n">
        <f aca="false">M220*E220</f>
        <v>21.5</v>
      </c>
    </row>
    <row r="221" customFormat="false" ht="16.5" hidden="false" customHeight="true" outlineLevel="0" collapsed="false">
      <c r="A221" s="42" t="n">
        <v>45676</v>
      </c>
      <c r="B221" s="24" t="s">
        <v>319</v>
      </c>
      <c r="C221" s="43" t="s">
        <v>109</v>
      </c>
      <c r="D221" s="43" t="s">
        <v>110</v>
      </c>
      <c r="E221" s="24" t="n">
        <v>5</v>
      </c>
      <c r="F221" s="44" t="n">
        <v>3.5</v>
      </c>
      <c r="G221" s="24" t="n">
        <v>10</v>
      </c>
      <c r="H221" s="24" t="n">
        <v>12</v>
      </c>
      <c r="I221" s="44" t="n">
        <f aca="false">E221*F221*(1-G221/100)*(1+H221/100)</f>
        <v>17.64</v>
      </c>
      <c r="J221" s="24" t="s">
        <v>28</v>
      </c>
      <c r="K221" s="24" t="s">
        <v>85</v>
      </c>
      <c r="L221" s="43" t="s">
        <v>89</v>
      </c>
      <c r="M221" s="44" t="n">
        <f aca="false">F221*(1-G221/100)-1.4</f>
        <v>1.75</v>
      </c>
      <c r="N221" s="44" t="n">
        <f aca="false">M221*E221</f>
        <v>8.75</v>
      </c>
    </row>
    <row r="222" customFormat="false" ht="16.5" hidden="false" customHeight="true" outlineLevel="0" collapsed="false">
      <c r="A222" s="45" t="n">
        <v>45676</v>
      </c>
      <c r="B222" s="28" t="s">
        <v>320</v>
      </c>
      <c r="C222" s="46" t="s">
        <v>124</v>
      </c>
      <c r="D222" s="46" t="s">
        <v>96</v>
      </c>
      <c r="E222" s="28" t="n">
        <v>3</v>
      </c>
      <c r="F222" s="47" t="n">
        <v>4</v>
      </c>
      <c r="G222" s="28" t="n">
        <v>5</v>
      </c>
      <c r="H222" s="28" t="n">
        <v>12</v>
      </c>
      <c r="I222" s="47" t="n">
        <f aca="false">E222*F222*(1-G222/100)*(1+H222/100)</f>
        <v>12.768</v>
      </c>
      <c r="J222" s="28" t="s">
        <v>34</v>
      </c>
      <c r="K222" s="28" t="s">
        <v>88</v>
      </c>
      <c r="L222" s="46" t="s">
        <v>94</v>
      </c>
      <c r="M222" s="47" t="n">
        <f aca="false">F222*(1-G222/100)-1.8</f>
        <v>2</v>
      </c>
      <c r="N222" s="47" t="n">
        <f aca="false">M222*E222</f>
        <v>6</v>
      </c>
    </row>
    <row r="223" customFormat="false" ht="16.5" hidden="false" customHeight="true" outlineLevel="0" collapsed="false">
      <c r="A223" s="42" t="n">
        <v>45676</v>
      </c>
      <c r="B223" s="24" t="s">
        <v>321</v>
      </c>
      <c r="C223" s="43" t="s">
        <v>27</v>
      </c>
      <c r="D223" s="43" t="s">
        <v>81</v>
      </c>
      <c r="E223" s="24" t="n">
        <v>1</v>
      </c>
      <c r="F223" s="44" t="n">
        <v>4.5</v>
      </c>
      <c r="G223" s="24" t="n">
        <v>10</v>
      </c>
      <c r="H223" s="24" t="n">
        <v>12</v>
      </c>
      <c r="I223" s="44" t="n">
        <f aca="false">E223*F223*(1-G223/100)*(1+H223/100)</f>
        <v>4.536</v>
      </c>
      <c r="J223" s="24" t="s">
        <v>26</v>
      </c>
      <c r="K223" s="24" t="s">
        <v>85</v>
      </c>
      <c r="L223" s="43" t="s">
        <v>111</v>
      </c>
      <c r="M223" s="44" t="n">
        <f aca="false">F223*(1-G223/100)-2.8</f>
        <v>1.25</v>
      </c>
      <c r="N223" s="44" t="n">
        <f aca="false">M223*E223</f>
        <v>1.25</v>
      </c>
    </row>
    <row r="224" customFormat="false" ht="16.5" hidden="false" customHeight="true" outlineLevel="0" collapsed="false">
      <c r="A224" s="45" t="n">
        <v>45676</v>
      </c>
      <c r="B224" s="28" t="s">
        <v>322</v>
      </c>
      <c r="C224" s="46" t="s">
        <v>33</v>
      </c>
      <c r="D224" s="46" t="s">
        <v>104</v>
      </c>
      <c r="E224" s="28" t="n">
        <v>4</v>
      </c>
      <c r="F224" s="47" t="n">
        <v>5</v>
      </c>
      <c r="G224" s="28" t="n">
        <v>0</v>
      </c>
      <c r="H224" s="28" t="n">
        <v>12</v>
      </c>
      <c r="I224" s="47" t="n">
        <f aca="false">E224*F224*(1-G224/100)*(1+H224/100)</f>
        <v>22.4</v>
      </c>
      <c r="J224" s="28" t="s">
        <v>32</v>
      </c>
      <c r="K224" s="28" t="s">
        <v>85</v>
      </c>
      <c r="L224" s="46" t="s">
        <v>94</v>
      </c>
      <c r="M224" s="47" t="n">
        <f aca="false">F224*(1-G224/100)-2.5</f>
        <v>2.5</v>
      </c>
      <c r="N224" s="47" t="n">
        <f aca="false">M224*E224</f>
        <v>10</v>
      </c>
    </row>
    <row r="225" customFormat="false" ht="16.5" hidden="false" customHeight="true" outlineLevel="0" collapsed="false">
      <c r="A225" s="42" t="n">
        <v>45676</v>
      </c>
      <c r="B225" s="24" t="s">
        <v>323</v>
      </c>
      <c r="C225" s="43" t="s">
        <v>27</v>
      </c>
      <c r="D225" s="43" t="s">
        <v>81</v>
      </c>
      <c r="E225" s="24" t="n">
        <v>3</v>
      </c>
      <c r="F225" s="44" t="n">
        <v>4.5</v>
      </c>
      <c r="G225" s="24" t="n">
        <v>5</v>
      </c>
      <c r="H225" s="24" t="n">
        <v>12</v>
      </c>
      <c r="I225" s="44" t="n">
        <f aca="false">E225*F225*(1-G225/100)*(1+H225/100)</f>
        <v>14.364</v>
      </c>
      <c r="J225" s="24" t="s">
        <v>28</v>
      </c>
      <c r="K225" s="24" t="s">
        <v>97</v>
      </c>
      <c r="L225" s="43" t="s">
        <v>106</v>
      </c>
      <c r="M225" s="44" t="n">
        <f aca="false">F225*(1-G225/100)-2.8</f>
        <v>1.475</v>
      </c>
      <c r="N225" s="44" t="n">
        <f aca="false">M225*E225</f>
        <v>4.425</v>
      </c>
    </row>
    <row r="226" customFormat="false" ht="16.5" hidden="false" customHeight="true" outlineLevel="0" collapsed="false">
      <c r="A226" s="45" t="n">
        <v>45676</v>
      </c>
      <c r="B226" s="28" t="s">
        <v>324</v>
      </c>
      <c r="C226" s="46" t="s">
        <v>29</v>
      </c>
      <c r="D226" s="46" t="s">
        <v>104</v>
      </c>
      <c r="E226" s="28" t="n">
        <v>4</v>
      </c>
      <c r="F226" s="47" t="n">
        <v>2.5</v>
      </c>
      <c r="G226" s="28" t="n">
        <v>0</v>
      </c>
      <c r="H226" s="28" t="n">
        <v>12</v>
      </c>
      <c r="I226" s="47" t="n">
        <f aca="false">E226*F226*(1-G226/100)*(1+H226/100)</f>
        <v>11.2</v>
      </c>
      <c r="J226" s="28" t="s">
        <v>24</v>
      </c>
      <c r="K226" s="28" t="s">
        <v>101</v>
      </c>
      <c r="L226" s="46" t="s">
        <v>98</v>
      </c>
      <c r="M226" s="47" t="n">
        <f aca="false">F226*(1-G226/100)-1.1</f>
        <v>1.4</v>
      </c>
      <c r="N226" s="47" t="n">
        <f aca="false">M226*E226</f>
        <v>5.6</v>
      </c>
    </row>
    <row r="227" customFormat="false" ht="16.5" hidden="false" customHeight="true" outlineLevel="0" collapsed="false">
      <c r="A227" s="42" t="n">
        <v>45676</v>
      </c>
      <c r="B227" s="24" t="s">
        <v>325</v>
      </c>
      <c r="C227" s="43" t="s">
        <v>113</v>
      </c>
      <c r="D227" s="43" t="s">
        <v>96</v>
      </c>
      <c r="E227" s="24" t="n">
        <v>1</v>
      </c>
      <c r="F227" s="44" t="n">
        <v>6</v>
      </c>
      <c r="G227" s="24" t="n">
        <v>0</v>
      </c>
      <c r="H227" s="24" t="n">
        <v>12</v>
      </c>
      <c r="I227" s="44" t="n">
        <f aca="false">E227*F227*(1-G227/100)*(1+H227/100)</f>
        <v>6.72</v>
      </c>
      <c r="J227" s="24" t="s">
        <v>26</v>
      </c>
      <c r="K227" s="24" t="s">
        <v>88</v>
      </c>
      <c r="L227" s="43" t="s">
        <v>86</v>
      </c>
      <c r="M227" s="44" t="n">
        <f aca="false">F227*(1-G227/100)-2.8</f>
        <v>3.2</v>
      </c>
      <c r="N227" s="44" t="n">
        <f aca="false">M227*E227</f>
        <v>3.2</v>
      </c>
    </row>
    <row r="228" customFormat="false" ht="16.5" hidden="false" customHeight="true" outlineLevel="0" collapsed="false">
      <c r="A228" s="45" t="n">
        <v>45676</v>
      </c>
      <c r="B228" s="28" t="s">
        <v>326</v>
      </c>
      <c r="C228" s="46" t="s">
        <v>109</v>
      </c>
      <c r="D228" s="46" t="s">
        <v>110</v>
      </c>
      <c r="E228" s="28" t="n">
        <v>5</v>
      </c>
      <c r="F228" s="47" t="n">
        <v>3.5</v>
      </c>
      <c r="G228" s="28" t="n">
        <v>10</v>
      </c>
      <c r="H228" s="28" t="n">
        <v>12</v>
      </c>
      <c r="I228" s="47" t="n">
        <f aca="false">E228*F228*(1-G228/100)*(1+H228/100)</f>
        <v>17.64</v>
      </c>
      <c r="J228" s="28" t="s">
        <v>28</v>
      </c>
      <c r="K228" s="28" t="s">
        <v>101</v>
      </c>
      <c r="L228" s="46" t="s">
        <v>94</v>
      </c>
      <c r="M228" s="47" t="n">
        <f aca="false">F228*(1-G228/100)-1.4</f>
        <v>1.75</v>
      </c>
      <c r="N228" s="47" t="n">
        <f aca="false">M228*E228</f>
        <v>8.75</v>
      </c>
    </row>
    <row r="229" customFormat="false" ht="16.5" hidden="false" customHeight="true" outlineLevel="0" collapsed="false">
      <c r="A229" s="42" t="n">
        <v>45676</v>
      </c>
      <c r="B229" s="24" t="s">
        <v>327</v>
      </c>
      <c r="C229" s="43" t="s">
        <v>36</v>
      </c>
      <c r="D229" s="43" t="s">
        <v>96</v>
      </c>
      <c r="E229" s="24" t="n">
        <v>4</v>
      </c>
      <c r="F229" s="44" t="n">
        <v>8.5</v>
      </c>
      <c r="G229" s="24" t="n">
        <v>0</v>
      </c>
      <c r="H229" s="24" t="n">
        <v>12</v>
      </c>
      <c r="I229" s="44" t="n">
        <f aca="false">E229*F229*(1-G229/100)*(1+H229/100)</f>
        <v>38.08</v>
      </c>
      <c r="J229" s="24" t="s">
        <v>28</v>
      </c>
      <c r="K229" s="24" t="s">
        <v>88</v>
      </c>
      <c r="L229" s="43" t="s">
        <v>122</v>
      </c>
      <c r="M229" s="44" t="n">
        <f aca="false">F229*(1-G229/100)-4.2</f>
        <v>4.3</v>
      </c>
      <c r="N229" s="44" t="n">
        <f aca="false">M229*E229</f>
        <v>17.2</v>
      </c>
    </row>
    <row r="230" customFormat="false" ht="16.5" hidden="false" customHeight="true" outlineLevel="0" collapsed="false">
      <c r="A230" s="45" t="n">
        <v>45677</v>
      </c>
      <c r="B230" s="28" t="s">
        <v>328</v>
      </c>
      <c r="C230" s="46" t="s">
        <v>27</v>
      </c>
      <c r="D230" s="46" t="s">
        <v>81</v>
      </c>
      <c r="E230" s="28" t="n">
        <v>5</v>
      </c>
      <c r="F230" s="47" t="n">
        <v>4.5</v>
      </c>
      <c r="G230" s="28" t="n">
        <v>10</v>
      </c>
      <c r="H230" s="28" t="n">
        <v>12</v>
      </c>
      <c r="I230" s="47" t="n">
        <f aca="false">E230*F230*(1-G230/100)*(1+H230/100)</f>
        <v>22.68</v>
      </c>
      <c r="J230" s="28" t="s">
        <v>26</v>
      </c>
      <c r="K230" s="28" t="s">
        <v>82</v>
      </c>
      <c r="L230" s="46" t="s">
        <v>111</v>
      </c>
      <c r="M230" s="47" t="n">
        <f aca="false">F230*(1-G230/100)-2.8</f>
        <v>1.25</v>
      </c>
      <c r="N230" s="47" t="n">
        <f aca="false">M230*E230</f>
        <v>6.25</v>
      </c>
    </row>
    <row r="231" customFormat="false" ht="16.5" hidden="false" customHeight="true" outlineLevel="0" collapsed="false">
      <c r="A231" s="42" t="n">
        <v>45677</v>
      </c>
      <c r="B231" s="24" t="s">
        <v>329</v>
      </c>
      <c r="C231" s="43" t="s">
        <v>33</v>
      </c>
      <c r="D231" s="43" t="s">
        <v>104</v>
      </c>
      <c r="E231" s="24" t="n">
        <v>1</v>
      </c>
      <c r="F231" s="44" t="n">
        <v>5</v>
      </c>
      <c r="G231" s="24" t="n">
        <v>0</v>
      </c>
      <c r="H231" s="24" t="n">
        <v>12</v>
      </c>
      <c r="I231" s="44" t="n">
        <f aca="false">E231*F231*(1-G231/100)*(1+H231/100)</f>
        <v>5.6</v>
      </c>
      <c r="J231" s="24" t="s">
        <v>34</v>
      </c>
      <c r="K231" s="24" t="s">
        <v>97</v>
      </c>
      <c r="L231" s="43" t="s">
        <v>98</v>
      </c>
      <c r="M231" s="44" t="n">
        <f aca="false">F231*(1-G231/100)-2.5</f>
        <v>2.5</v>
      </c>
      <c r="N231" s="44" t="n">
        <f aca="false">M231*E231</f>
        <v>2.5</v>
      </c>
    </row>
    <row r="232" customFormat="false" ht="16.5" hidden="false" customHeight="true" outlineLevel="0" collapsed="false">
      <c r="A232" s="45" t="n">
        <v>45677</v>
      </c>
      <c r="B232" s="28" t="s">
        <v>330</v>
      </c>
      <c r="C232" s="46" t="s">
        <v>35</v>
      </c>
      <c r="D232" s="46" t="s">
        <v>81</v>
      </c>
      <c r="E232" s="28" t="n">
        <v>5</v>
      </c>
      <c r="F232" s="47" t="n">
        <v>1.5</v>
      </c>
      <c r="G232" s="28" t="n">
        <v>0</v>
      </c>
      <c r="H232" s="28" t="n">
        <v>12</v>
      </c>
      <c r="I232" s="47" t="n">
        <f aca="false">E232*F232*(1-G232/100)*(1+H232/100)</f>
        <v>8.4</v>
      </c>
      <c r="J232" s="28" t="s">
        <v>32</v>
      </c>
      <c r="K232" s="28" t="s">
        <v>88</v>
      </c>
      <c r="L232" s="46" t="s">
        <v>89</v>
      </c>
      <c r="M232" s="47" t="n">
        <f aca="false">F232*(1-G232/100)-0.6</f>
        <v>0.9</v>
      </c>
      <c r="N232" s="47" t="n">
        <f aca="false">M232*E232</f>
        <v>4.5</v>
      </c>
    </row>
    <row r="233" customFormat="false" ht="16.5" hidden="false" customHeight="true" outlineLevel="0" collapsed="false">
      <c r="A233" s="42" t="n">
        <v>45677</v>
      </c>
      <c r="B233" s="24" t="s">
        <v>331</v>
      </c>
      <c r="C233" s="43" t="s">
        <v>109</v>
      </c>
      <c r="D233" s="43" t="s">
        <v>110</v>
      </c>
      <c r="E233" s="24" t="n">
        <v>5</v>
      </c>
      <c r="F233" s="44" t="n">
        <v>3.5</v>
      </c>
      <c r="G233" s="24" t="n">
        <v>0</v>
      </c>
      <c r="H233" s="24" t="n">
        <v>12</v>
      </c>
      <c r="I233" s="44" t="n">
        <f aca="false">E233*F233*(1-G233/100)*(1+H233/100)</f>
        <v>19.6</v>
      </c>
      <c r="J233" s="24" t="s">
        <v>34</v>
      </c>
      <c r="K233" s="24" t="s">
        <v>97</v>
      </c>
      <c r="L233" s="43" t="s">
        <v>86</v>
      </c>
      <c r="M233" s="44" t="n">
        <f aca="false">F233*(1-G233/100)-1.4</f>
        <v>2.1</v>
      </c>
      <c r="N233" s="44" t="n">
        <f aca="false">M233*E233</f>
        <v>10.5</v>
      </c>
    </row>
    <row r="234" customFormat="false" ht="16.5" hidden="false" customHeight="true" outlineLevel="0" collapsed="false">
      <c r="A234" s="45" t="n">
        <v>45677</v>
      </c>
      <c r="B234" s="28" t="s">
        <v>332</v>
      </c>
      <c r="C234" s="46" t="s">
        <v>29</v>
      </c>
      <c r="D234" s="46" t="s">
        <v>104</v>
      </c>
      <c r="E234" s="28" t="n">
        <v>3</v>
      </c>
      <c r="F234" s="47" t="n">
        <v>2.5</v>
      </c>
      <c r="G234" s="28" t="n">
        <v>0</v>
      </c>
      <c r="H234" s="28" t="n">
        <v>12</v>
      </c>
      <c r="I234" s="47" t="n">
        <f aca="false">E234*F234*(1-G234/100)*(1+H234/100)</f>
        <v>8.4</v>
      </c>
      <c r="J234" s="28" t="s">
        <v>28</v>
      </c>
      <c r="K234" s="28" t="s">
        <v>97</v>
      </c>
      <c r="L234" s="46" t="s">
        <v>86</v>
      </c>
      <c r="M234" s="47" t="n">
        <f aca="false">F234*(1-G234/100)-1.1</f>
        <v>1.4</v>
      </c>
      <c r="N234" s="47" t="n">
        <f aca="false">M234*E234</f>
        <v>4.2</v>
      </c>
    </row>
    <row r="235" customFormat="false" ht="16.5" hidden="false" customHeight="true" outlineLevel="0" collapsed="false">
      <c r="A235" s="42" t="n">
        <v>45677</v>
      </c>
      <c r="B235" s="24" t="s">
        <v>333</v>
      </c>
      <c r="C235" s="43" t="s">
        <v>29</v>
      </c>
      <c r="D235" s="43" t="s">
        <v>104</v>
      </c>
      <c r="E235" s="24" t="n">
        <v>2</v>
      </c>
      <c r="F235" s="44" t="n">
        <v>2.5</v>
      </c>
      <c r="G235" s="24" t="n">
        <v>10</v>
      </c>
      <c r="H235" s="24" t="n">
        <v>12</v>
      </c>
      <c r="I235" s="44" t="n">
        <f aca="false">E235*F235*(1-G235/100)*(1+H235/100)</f>
        <v>5.04</v>
      </c>
      <c r="J235" s="24" t="s">
        <v>32</v>
      </c>
      <c r="K235" s="24" t="s">
        <v>101</v>
      </c>
      <c r="L235" s="43" t="s">
        <v>83</v>
      </c>
      <c r="M235" s="44" t="n">
        <f aca="false">F235*(1-G235/100)-1.1</f>
        <v>1.15</v>
      </c>
      <c r="N235" s="44" t="n">
        <f aca="false">M235*E235</f>
        <v>2.3</v>
      </c>
    </row>
    <row r="236" customFormat="false" ht="16.5" hidden="false" customHeight="true" outlineLevel="0" collapsed="false">
      <c r="A236" s="45" t="n">
        <v>45677</v>
      </c>
      <c r="B236" s="28" t="s">
        <v>334</v>
      </c>
      <c r="C236" s="46" t="s">
        <v>25</v>
      </c>
      <c r="D236" s="46" t="s">
        <v>81</v>
      </c>
      <c r="E236" s="28" t="n">
        <v>1</v>
      </c>
      <c r="F236" s="47" t="n">
        <v>3.5</v>
      </c>
      <c r="G236" s="28" t="n">
        <v>10</v>
      </c>
      <c r="H236" s="28" t="n">
        <v>12</v>
      </c>
      <c r="I236" s="47" t="n">
        <f aca="false">E236*F236*(1-G236/100)*(1+H236/100)</f>
        <v>3.528</v>
      </c>
      <c r="J236" s="28" t="s">
        <v>26</v>
      </c>
      <c r="K236" s="28" t="s">
        <v>85</v>
      </c>
      <c r="L236" s="46" t="s">
        <v>94</v>
      </c>
      <c r="M236" s="47" t="n">
        <f aca="false">F236*(1-G236/100)-2.2</f>
        <v>0.95</v>
      </c>
      <c r="N236" s="47" t="n">
        <f aca="false">M236*E236</f>
        <v>0.95</v>
      </c>
    </row>
    <row r="237" customFormat="false" ht="16.5" hidden="false" customHeight="true" outlineLevel="0" collapsed="false">
      <c r="A237" s="42" t="n">
        <v>45677</v>
      </c>
      <c r="B237" s="24" t="s">
        <v>335</v>
      </c>
      <c r="C237" s="43" t="s">
        <v>93</v>
      </c>
      <c r="D237" s="43" t="s">
        <v>81</v>
      </c>
      <c r="E237" s="24" t="n">
        <v>3</v>
      </c>
      <c r="F237" s="44" t="n">
        <v>3</v>
      </c>
      <c r="G237" s="24" t="n">
        <v>0</v>
      </c>
      <c r="H237" s="24" t="n">
        <v>12</v>
      </c>
      <c r="I237" s="44" t="n">
        <f aca="false">E237*F237*(1-G237/100)*(1+H237/100)</f>
        <v>10.08</v>
      </c>
      <c r="J237" s="24" t="s">
        <v>28</v>
      </c>
      <c r="K237" s="24" t="s">
        <v>97</v>
      </c>
      <c r="L237" s="43" t="s">
        <v>106</v>
      </c>
      <c r="M237" s="44" t="n">
        <f aca="false">F237*(1-G237/100)-1.5</f>
        <v>1.5</v>
      </c>
      <c r="N237" s="44" t="n">
        <f aca="false">M237*E237</f>
        <v>4.5</v>
      </c>
    </row>
    <row r="238" customFormat="false" ht="16.5" hidden="false" customHeight="true" outlineLevel="0" collapsed="false">
      <c r="A238" s="45" t="n">
        <v>45677</v>
      </c>
      <c r="B238" s="28" t="s">
        <v>336</v>
      </c>
      <c r="C238" s="46" t="s">
        <v>109</v>
      </c>
      <c r="D238" s="46" t="s">
        <v>110</v>
      </c>
      <c r="E238" s="28" t="n">
        <v>5</v>
      </c>
      <c r="F238" s="47" t="n">
        <v>3.5</v>
      </c>
      <c r="G238" s="28" t="n">
        <v>0</v>
      </c>
      <c r="H238" s="28" t="n">
        <v>12</v>
      </c>
      <c r="I238" s="47" t="n">
        <f aca="false">E238*F238*(1-G238/100)*(1+H238/100)</f>
        <v>19.6</v>
      </c>
      <c r="J238" s="28" t="s">
        <v>24</v>
      </c>
      <c r="K238" s="28" t="s">
        <v>82</v>
      </c>
      <c r="L238" s="46" t="s">
        <v>83</v>
      </c>
      <c r="M238" s="47" t="n">
        <f aca="false">F238*(1-G238/100)-1.4</f>
        <v>2.1</v>
      </c>
      <c r="N238" s="47" t="n">
        <f aca="false">M238*E238</f>
        <v>10.5</v>
      </c>
    </row>
    <row r="239" customFormat="false" ht="16.5" hidden="false" customHeight="true" outlineLevel="0" collapsed="false">
      <c r="A239" s="42" t="n">
        <v>45677</v>
      </c>
      <c r="B239" s="24" t="s">
        <v>337</v>
      </c>
      <c r="C239" s="43" t="s">
        <v>109</v>
      </c>
      <c r="D239" s="43" t="s">
        <v>110</v>
      </c>
      <c r="E239" s="24" t="n">
        <v>1</v>
      </c>
      <c r="F239" s="44" t="n">
        <v>3.5</v>
      </c>
      <c r="G239" s="24" t="n">
        <v>0</v>
      </c>
      <c r="H239" s="24" t="n">
        <v>12</v>
      </c>
      <c r="I239" s="44" t="n">
        <f aca="false">E239*F239*(1-G239/100)*(1+H239/100)</f>
        <v>3.92</v>
      </c>
      <c r="J239" s="24" t="s">
        <v>28</v>
      </c>
      <c r="K239" s="24" t="s">
        <v>85</v>
      </c>
      <c r="L239" s="43" t="s">
        <v>94</v>
      </c>
      <c r="M239" s="44" t="n">
        <f aca="false">F239*(1-G239/100)-1.4</f>
        <v>2.1</v>
      </c>
      <c r="N239" s="44" t="n">
        <f aca="false">M239*E239</f>
        <v>2.1</v>
      </c>
    </row>
    <row r="240" customFormat="false" ht="16.5" hidden="false" customHeight="true" outlineLevel="0" collapsed="false">
      <c r="A240" s="45" t="n">
        <v>45678</v>
      </c>
      <c r="B240" s="28" t="s">
        <v>338</v>
      </c>
      <c r="C240" s="46" t="s">
        <v>109</v>
      </c>
      <c r="D240" s="46" t="s">
        <v>110</v>
      </c>
      <c r="E240" s="28" t="n">
        <v>4</v>
      </c>
      <c r="F240" s="47" t="n">
        <v>3.5</v>
      </c>
      <c r="G240" s="28" t="n">
        <v>5</v>
      </c>
      <c r="H240" s="28" t="n">
        <v>12</v>
      </c>
      <c r="I240" s="47" t="n">
        <f aca="false">E240*F240*(1-G240/100)*(1+H240/100)</f>
        <v>14.896</v>
      </c>
      <c r="J240" s="28" t="s">
        <v>28</v>
      </c>
      <c r="K240" s="28" t="s">
        <v>82</v>
      </c>
      <c r="L240" s="46" t="s">
        <v>117</v>
      </c>
      <c r="M240" s="47" t="n">
        <f aca="false">F240*(1-G240/100)-1.4</f>
        <v>1.925</v>
      </c>
      <c r="N240" s="47" t="n">
        <f aca="false">M240*E240</f>
        <v>7.7</v>
      </c>
    </row>
    <row r="241" customFormat="false" ht="16.5" hidden="false" customHeight="true" outlineLevel="0" collapsed="false">
      <c r="A241" s="42" t="n">
        <v>45678</v>
      </c>
      <c r="B241" s="24" t="s">
        <v>339</v>
      </c>
      <c r="C241" s="43" t="s">
        <v>27</v>
      </c>
      <c r="D241" s="43" t="s">
        <v>81</v>
      </c>
      <c r="E241" s="24" t="n">
        <v>3</v>
      </c>
      <c r="F241" s="44" t="n">
        <v>4.5</v>
      </c>
      <c r="G241" s="24" t="n">
        <v>5</v>
      </c>
      <c r="H241" s="24" t="n">
        <v>12</v>
      </c>
      <c r="I241" s="44" t="n">
        <f aca="false">E241*F241*(1-G241/100)*(1+H241/100)</f>
        <v>14.364</v>
      </c>
      <c r="J241" s="24" t="s">
        <v>24</v>
      </c>
      <c r="K241" s="24" t="s">
        <v>97</v>
      </c>
      <c r="L241" s="43" t="s">
        <v>89</v>
      </c>
      <c r="M241" s="44" t="n">
        <f aca="false">F241*(1-G241/100)-2.8</f>
        <v>1.475</v>
      </c>
      <c r="N241" s="44" t="n">
        <f aca="false">M241*E241</f>
        <v>4.425</v>
      </c>
    </row>
    <row r="242" customFormat="false" ht="16.5" hidden="false" customHeight="true" outlineLevel="0" collapsed="false">
      <c r="A242" s="45" t="n">
        <v>45678</v>
      </c>
      <c r="B242" s="28" t="s">
        <v>340</v>
      </c>
      <c r="C242" s="46" t="s">
        <v>93</v>
      </c>
      <c r="D242" s="46" t="s">
        <v>81</v>
      </c>
      <c r="E242" s="28" t="n">
        <v>5</v>
      </c>
      <c r="F242" s="47" t="n">
        <v>3</v>
      </c>
      <c r="G242" s="28" t="n">
        <v>0</v>
      </c>
      <c r="H242" s="28" t="n">
        <v>12</v>
      </c>
      <c r="I242" s="47" t="n">
        <f aca="false">E242*F242*(1-G242/100)*(1+H242/100)</f>
        <v>16.8</v>
      </c>
      <c r="J242" s="28" t="s">
        <v>24</v>
      </c>
      <c r="K242" s="28" t="s">
        <v>82</v>
      </c>
      <c r="L242" s="46" t="s">
        <v>94</v>
      </c>
      <c r="M242" s="47" t="n">
        <f aca="false">F242*(1-G242/100)-1.5</f>
        <v>1.5</v>
      </c>
      <c r="N242" s="47" t="n">
        <f aca="false">M242*E242</f>
        <v>7.5</v>
      </c>
    </row>
    <row r="243" customFormat="false" ht="16.5" hidden="false" customHeight="true" outlineLevel="0" collapsed="false">
      <c r="A243" s="42" t="n">
        <v>45678</v>
      </c>
      <c r="B243" s="24" t="s">
        <v>341</v>
      </c>
      <c r="C243" s="43" t="s">
        <v>109</v>
      </c>
      <c r="D243" s="43" t="s">
        <v>110</v>
      </c>
      <c r="E243" s="24" t="n">
        <v>1</v>
      </c>
      <c r="F243" s="44" t="n">
        <v>3.5</v>
      </c>
      <c r="G243" s="24" t="n">
        <v>0</v>
      </c>
      <c r="H243" s="24" t="n">
        <v>12</v>
      </c>
      <c r="I243" s="44" t="n">
        <f aca="false">E243*F243*(1-G243/100)*(1+H243/100)</f>
        <v>3.92</v>
      </c>
      <c r="J243" s="24" t="s">
        <v>26</v>
      </c>
      <c r="K243" s="24" t="s">
        <v>97</v>
      </c>
      <c r="L243" s="43" t="s">
        <v>91</v>
      </c>
      <c r="M243" s="44" t="n">
        <f aca="false">F243*(1-G243/100)-1.4</f>
        <v>2.1</v>
      </c>
      <c r="N243" s="44" t="n">
        <f aca="false">M243*E243</f>
        <v>2.1</v>
      </c>
    </row>
    <row r="244" customFormat="false" ht="16.5" hidden="false" customHeight="true" outlineLevel="0" collapsed="false">
      <c r="A244" s="45" t="n">
        <v>45678</v>
      </c>
      <c r="B244" s="28" t="s">
        <v>342</v>
      </c>
      <c r="C244" s="46" t="s">
        <v>29</v>
      </c>
      <c r="D244" s="46" t="s">
        <v>104</v>
      </c>
      <c r="E244" s="28" t="n">
        <v>3</v>
      </c>
      <c r="F244" s="47" t="n">
        <v>2.5</v>
      </c>
      <c r="G244" s="28" t="n">
        <v>0</v>
      </c>
      <c r="H244" s="28" t="n">
        <v>12</v>
      </c>
      <c r="I244" s="47" t="n">
        <f aca="false">E244*F244*(1-G244/100)*(1+H244/100)</f>
        <v>8.4</v>
      </c>
      <c r="J244" s="28" t="s">
        <v>28</v>
      </c>
      <c r="K244" s="28" t="s">
        <v>101</v>
      </c>
      <c r="L244" s="46" t="s">
        <v>86</v>
      </c>
      <c r="M244" s="47" t="n">
        <f aca="false">F244*(1-G244/100)-1.1</f>
        <v>1.4</v>
      </c>
      <c r="N244" s="47" t="n">
        <f aca="false">M244*E244</f>
        <v>4.2</v>
      </c>
    </row>
    <row r="245" customFormat="false" ht="16.5" hidden="false" customHeight="true" outlineLevel="0" collapsed="false">
      <c r="A245" s="42" t="n">
        <v>45678</v>
      </c>
      <c r="B245" s="24" t="s">
        <v>343</v>
      </c>
      <c r="C245" s="43" t="s">
        <v>93</v>
      </c>
      <c r="D245" s="43" t="s">
        <v>81</v>
      </c>
      <c r="E245" s="24" t="n">
        <v>4</v>
      </c>
      <c r="F245" s="44" t="n">
        <v>3</v>
      </c>
      <c r="G245" s="24" t="n">
        <v>0</v>
      </c>
      <c r="H245" s="24" t="n">
        <v>12</v>
      </c>
      <c r="I245" s="44" t="n">
        <f aca="false">E245*F245*(1-G245/100)*(1+H245/100)</f>
        <v>13.44</v>
      </c>
      <c r="J245" s="24" t="s">
        <v>26</v>
      </c>
      <c r="K245" s="24" t="s">
        <v>85</v>
      </c>
      <c r="L245" s="43" t="s">
        <v>117</v>
      </c>
      <c r="M245" s="44" t="n">
        <f aca="false">F245*(1-G245/100)-1.5</f>
        <v>1.5</v>
      </c>
      <c r="N245" s="44" t="n">
        <f aca="false">M245*E245</f>
        <v>6</v>
      </c>
    </row>
    <row r="246" customFormat="false" ht="16.5" hidden="false" customHeight="true" outlineLevel="0" collapsed="false">
      <c r="A246" s="45" t="n">
        <v>45678</v>
      </c>
      <c r="B246" s="28" t="s">
        <v>344</v>
      </c>
      <c r="C246" s="46" t="s">
        <v>33</v>
      </c>
      <c r="D246" s="46" t="s">
        <v>104</v>
      </c>
      <c r="E246" s="28" t="n">
        <v>5</v>
      </c>
      <c r="F246" s="47" t="n">
        <v>5</v>
      </c>
      <c r="G246" s="28" t="n">
        <v>10</v>
      </c>
      <c r="H246" s="28" t="n">
        <v>12</v>
      </c>
      <c r="I246" s="47" t="n">
        <f aca="false">E246*F246*(1-G246/100)*(1+H246/100)</f>
        <v>25.2</v>
      </c>
      <c r="J246" s="28" t="s">
        <v>28</v>
      </c>
      <c r="K246" s="28" t="s">
        <v>101</v>
      </c>
      <c r="L246" s="46" t="s">
        <v>94</v>
      </c>
      <c r="M246" s="47" t="n">
        <f aca="false">F246*(1-G246/100)-2.5</f>
        <v>2</v>
      </c>
      <c r="N246" s="47" t="n">
        <f aca="false">M246*E246</f>
        <v>10</v>
      </c>
    </row>
    <row r="247" customFormat="false" ht="16.5" hidden="false" customHeight="true" outlineLevel="0" collapsed="false">
      <c r="A247" s="42" t="n">
        <v>45678</v>
      </c>
      <c r="B247" s="24" t="s">
        <v>345</v>
      </c>
      <c r="C247" s="43" t="s">
        <v>25</v>
      </c>
      <c r="D247" s="43" t="s">
        <v>81</v>
      </c>
      <c r="E247" s="24" t="n">
        <v>4</v>
      </c>
      <c r="F247" s="44" t="n">
        <v>3.5</v>
      </c>
      <c r="G247" s="24" t="n">
        <v>0</v>
      </c>
      <c r="H247" s="24" t="n">
        <v>12</v>
      </c>
      <c r="I247" s="44" t="n">
        <f aca="false">E247*F247*(1-G247/100)*(1+H247/100)</f>
        <v>15.68</v>
      </c>
      <c r="J247" s="24" t="s">
        <v>32</v>
      </c>
      <c r="K247" s="24" t="s">
        <v>101</v>
      </c>
      <c r="L247" s="43" t="s">
        <v>106</v>
      </c>
      <c r="M247" s="44" t="n">
        <f aca="false">F247*(1-G247/100)-2.2</f>
        <v>1.3</v>
      </c>
      <c r="N247" s="44" t="n">
        <f aca="false">M247*E247</f>
        <v>5.2</v>
      </c>
    </row>
    <row r="248" customFormat="false" ht="16.5" hidden="false" customHeight="true" outlineLevel="0" collapsed="false">
      <c r="A248" s="45" t="n">
        <v>45678</v>
      </c>
      <c r="B248" s="28" t="s">
        <v>346</v>
      </c>
      <c r="C248" s="46" t="s">
        <v>109</v>
      </c>
      <c r="D248" s="46" t="s">
        <v>110</v>
      </c>
      <c r="E248" s="28" t="n">
        <v>4</v>
      </c>
      <c r="F248" s="47" t="n">
        <v>3.5</v>
      </c>
      <c r="G248" s="28" t="n">
        <v>10</v>
      </c>
      <c r="H248" s="28" t="n">
        <v>12</v>
      </c>
      <c r="I248" s="47" t="n">
        <f aca="false">E248*F248*(1-G248/100)*(1+H248/100)</f>
        <v>14.112</v>
      </c>
      <c r="J248" s="28" t="s">
        <v>32</v>
      </c>
      <c r="K248" s="28" t="s">
        <v>85</v>
      </c>
      <c r="L248" s="46" t="s">
        <v>122</v>
      </c>
      <c r="M248" s="47" t="n">
        <f aca="false">F248*(1-G248/100)-1.4</f>
        <v>1.75</v>
      </c>
      <c r="N248" s="47" t="n">
        <f aca="false">M248*E248</f>
        <v>7</v>
      </c>
    </row>
    <row r="249" customFormat="false" ht="16.5" hidden="false" customHeight="true" outlineLevel="0" collapsed="false">
      <c r="A249" s="42" t="n">
        <v>45678</v>
      </c>
      <c r="B249" s="24" t="s">
        <v>347</v>
      </c>
      <c r="C249" s="43" t="s">
        <v>27</v>
      </c>
      <c r="D249" s="43" t="s">
        <v>81</v>
      </c>
      <c r="E249" s="24" t="n">
        <v>4</v>
      </c>
      <c r="F249" s="44" t="n">
        <v>4.5</v>
      </c>
      <c r="G249" s="24" t="n">
        <v>0</v>
      </c>
      <c r="H249" s="24" t="n">
        <v>12</v>
      </c>
      <c r="I249" s="44" t="n">
        <f aca="false">E249*F249*(1-G249/100)*(1+H249/100)</f>
        <v>20.16</v>
      </c>
      <c r="J249" s="24" t="s">
        <v>28</v>
      </c>
      <c r="K249" s="24" t="s">
        <v>82</v>
      </c>
      <c r="L249" s="43" t="s">
        <v>89</v>
      </c>
      <c r="M249" s="44" t="n">
        <f aca="false">F249*(1-G249/100)-2.8</f>
        <v>1.7</v>
      </c>
      <c r="N249" s="44" t="n">
        <f aca="false">M249*E249</f>
        <v>6.8</v>
      </c>
    </row>
    <row r="250" customFormat="false" ht="16.5" hidden="false" customHeight="true" outlineLevel="0" collapsed="false">
      <c r="A250" s="45" t="n">
        <v>45678</v>
      </c>
      <c r="B250" s="28" t="s">
        <v>348</v>
      </c>
      <c r="C250" s="46" t="s">
        <v>93</v>
      </c>
      <c r="D250" s="46" t="s">
        <v>81</v>
      </c>
      <c r="E250" s="28" t="n">
        <v>3</v>
      </c>
      <c r="F250" s="47" t="n">
        <v>3</v>
      </c>
      <c r="G250" s="28" t="n">
        <v>0</v>
      </c>
      <c r="H250" s="28" t="n">
        <v>12</v>
      </c>
      <c r="I250" s="47" t="n">
        <f aca="false">E250*F250*(1-G250/100)*(1+H250/100)</f>
        <v>10.08</v>
      </c>
      <c r="J250" s="28" t="s">
        <v>32</v>
      </c>
      <c r="K250" s="28" t="s">
        <v>101</v>
      </c>
      <c r="L250" s="46" t="s">
        <v>91</v>
      </c>
      <c r="M250" s="47" t="n">
        <f aca="false">F250*(1-G250/100)-1.5</f>
        <v>1.5</v>
      </c>
      <c r="N250" s="47" t="n">
        <f aca="false">M250*E250</f>
        <v>4.5</v>
      </c>
    </row>
    <row r="251" customFormat="false" ht="16.5" hidden="false" customHeight="true" outlineLevel="0" collapsed="false">
      <c r="A251" s="42" t="n">
        <v>45678</v>
      </c>
      <c r="B251" s="24" t="s">
        <v>349</v>
      </c>
      <c r="C251" s="43" t="s">
        <v>113</v>
      </c>
      <c r="D251" s="43" t="s">
        <v>96</v>
      </c>
      <c r="E251" s="24" t="n">
        <v>5</v>
      </c>
      <c r="F251" s="44" t="n">
        <v>6</v>
      </c>
      <c r="G251" s="24" t="n">
        <v>5</v>
      </c>
      <c r="H251" s="24" t="n">
        <v>12</v>
      </c>
      <c r="I251" s="44" t="n">
        <f aca="false">E251*F251*(1-G251/100)*(1+H251/100)</f>
        <v>31.92</v>
      </c>
      <c r="J251" s="24" t="s">
        <v>34</v>
      </c>
      <c r="K251" s="24" t="s">
        <v>101</v>
      </c>
      <c r="L251" s="43" t="s">
        <v>94</v>
      </c>
      <c r="M251" s="44" t="n">
        <f aca="false">F251*(1-G251/100)-2.8</f>
        <v>2.9</v>
      </c>
      <c r="N251" s="44" t="n">
        <f aca="false">M251*E251</f>
        <v>14.5</v>
      </c>
    </row>
    <row r="252" customFormat="false" ht="16.5" hidden="false" customHeight="true" outlineLevel="0" collapsed="false">
      <c r="A252" s="45" t="n">
        <v>45679</v>
      </c>
      <c r="B252" s="28" t="s">
        <v>350</v>
      </c>
      <c r="C252" s="46" t="s">
        <v>36</v>
      </c>
      <c r="D252" s="46" t="s">
        <v>96</v>
      </c>
      <c r="E252" s="28" t="n">
        <v>2</v>
      </c>
      <c r="F252" s="47" t="n">
        <v>8.5</v>
      </c>
      <c r="G252" s="28" t="n">
        <v>0</v>
      </c>
      <c r="H252" s="28" t="n">
        <v>12</v>
      </c>
      <c r="I252" s="47" t="n">
        <f aca="false">E252*F252*(1-G252/100)*(1+H252/100)</f>
        <v>19.04</v>
      </c>
      <c r="J252" s="28" t="s">
        <v>26</v>
      </c>
      <c r="K252" s="28" t="s">
        <v>101</v>
      </c>
      <c r="L252" s="46" t="s">
        <v>117</v>
      </c>
      <c r="M252" s="47" t="n">
        <f aca="false">F252*(1-G252/100)-4.2</f>
        <v>4.3</v>
      </c>
      <c r="N252" s="47" t="n">
        <f aca="false">M252*E252</f>
        <v>8.6</v>
      </c>
    </row>
    <row r="253" customFormat="false" ht="16.5" hidden="false" customHeight="true" outlineLevel="0" collapsed="false">
      <c r="A253" s="42" t="n">
        <v>45679</v>
      </c>
      <c r="B253" s="24" t="s">
        <v>351</v>
      </c>
      <c r="C253" s="43" t="s">
        <v>27</v>
      </c>
      <c r="D253" s="43" t="s">
        <v>81</v>
      </c>
      <c r="E253" s="24" t="n">
        <v>5</v>
      </c>
      <c r="F253" s="44" t="n">
        <v>4.5</v>
      </c>
      <c r="G253" s="24" t="n">
        <v>10</v>
      </c>
      <c r="H253" s="24" t="n">
        <v>12</v>
      </c>
      <c r="I253" s="44" t="n">
        <f aca="false">E253*F253*(1-G253/100)*(1+H253/100)</f>
        <v>22.68</v>
      </c>
      <c r="J253" s="24" t="s">
        <v>26</v>
      </c>
      <c r="K253" s="24" t="s">
        <v>97</v>
      </c>
      <c r="L253" s="43" t="s">
        <v>106</v>
      </c>
      <c r="M253" s="44" t="n">
        <f aca="false">F253*(1-G253/100)-2.8</f>
        <v>1.25</v>
      </c>
      <c r="N253" s="44" t="n">
        <f aca="false">M253*E253</f>
        <v>6.25</v>
      </c>
    </row>
    <row r="254" customFormat="false" ht="16.5" hidden="false" customHeight="true" outlineLevel="0" collapsed="false">
      <c r="A254" s="45" t="n">
        <v>45679</v>
      </c>
      <c r="B254" s="28" t="s">
        <v>352</v>
      </c>
      <c r="C254" s="46" t="s">
        <v>29</v>
      </c>
      <c r="D254" s="46" t="s">
        <v>104</v>
      </c>
      <c r="E254" s="28" t="n">
        <v>2</v>
      </c>
      <c r="F254" s="47" t="n">
        <v>2.5</v>
      </c>
      <c r="G254" s="28" t="n">
        <v>0</v>
      </c>
      <c r="H254" s="28" t="n">
        <v>12</v>
      </c>
      <c r="I254" s="47" t="n">
        <f aca="false">E254*F254*(1-G254/100)*(1+H254/100)</f>
        <v>5.6</v>
      </c>
      <c r="J254" s="28" t="s">
        <v>26</v>
      </c>
      <c r="K254" s="28" t="s">
        <v>97</v>
      </c>
      <c r="L254" s="46" t="s">
        <v>91</v>
      </c>
      <c r="M254" s="47" t="n">
        <f aca="false">F254*(1-G254/100)-1.1</f>
        <v>1.4</v>
      </c>
      <c r="N254" s="47" t="n">
        <f aca="false">M254*E254</f>
        <v>2.8</v>
      </c>
    </row>
    <row r="255" customFormat="false" ht="16.5" hidden="false" customHeight="true" outlineLevel="0" collapsed="false">
      <c r="A255" s="42" t="n">
        <v>45679</v>
      </c>
      <c r="B255" s="24" t="s">
        <v>353</v>
      </c>
      <c r="C255" s="43" t="s">
        <v>29</v>
      </c>
      <c r="D255" s="43" t="s">
        <v>104</v>
      </c>
      <c r="E255" s="24" t="n">
        <v>5</v>
      </c>
      <c r="F255" s="44" t="n">
        <v>2.5</v>
      </c>
      <c r="G255" s="24" t="n">
        <v>0</v>
      </c>
      <c r="H255" s="24" t="n">
        <v>12</v>
      </c>
      <c r="I255" s="44" t="n">
        <f aca="false">E255*F255*(1-G255/100)*(1+H255/100)</f>
        <v>14</v>
      </c>
      <c r="J255" s="24" t="s">
        <v>24</v>
      </c>
      <c r="K255" s="24" t="s">
        <v>82</v>
      </c>
      <c r="L255" s="43" t="s">
        <v>111</v>
      </c>
      <c r="M255" s="44" t="n">
        <f aca="false">F255*(1-G255/100)-1.1</f>
        <v>1.4</v>
      </c>
      <c r="N255" s="44" t="n">
        <f aca="false">M255*E255</f>
        <v>7</v>
      </c>
    </row>
    <row r="256" customFormat="false" ht="16.5" hidden="false" customHeight="true" outlineLevel="0" collapsed="false">
      <c r="A256" s="45" t="n">
        <v>45679</v>
      </c>
      <c r="B256" s="28" t="s">
        <v>354</v>
      </c>
      <c r="C256" s="46" t="s">
        <v>93</v>
      </c>
      <c r="D256" s="46" t="s">
        <v>81</v>
      </c>
      <c r="E256" s="28" t="n">
        <v>5</v>
      </c>
      <c r="F256" s="47" t="n">
        <v>3</v>
      </c>
      <c r="G256" s="28" t="n">
        <v>10</v>
      </c>
      <c r="H256" s="28" t="n">
        <v>12</v>
      </c>
      <c r="I256" s="47" t="n">
        <f aca="false">E256*F256*(1-G256/100)*(1+H256/100)</f>
        <v>15.12</v>
      </c>
      <c r="J256" s="28" t="s">
        <v>32</v>
      </c>
      <c r="K256" s="28" t="s">
        <v>88</v>
      </c>
      <c r="L256" s="46" t="s">
        <v>89</v>
      </c>
      <c r="M256" s="47" t="n">
        <f aca="false">F256*(1-G256/100)-1.5</f>
        <v>1.2</v>
      </c>
      <c r="N256" s="47" t="n">
        <f aca="false">M256*E256</f>
        <v>6</v>
      </c>
    </row>
    <row r="257" customFormat="false" ht="16.5" hidden="false" customHeight="true" outlineLevel="0" collapsed="false">
      <c r="A257" s="42" t="n">
        <v>45679</v>
      </c>
      <c r="B257" s="24" t="s">
        <v>355</v>
      </c>
      <c r="C257" s="43" t="s">
        <v>36</v>
      </c>
      <c r="D257" s="43" t="s">
        <v>96</v>
      </c>
      <c r="E257" s="24" t="n">
        <v>3</v>
      </c>
      <c r="F257" s="44" t="n">
        <v>8.5</v>
      </c>
      <c r="G257" s="24" t="n">
        <v>0</v>
      </c>
      <c r="H257" s="24" t="n">
        <v>12</v>
      </c>
      <c r="I257" s="44" t="n">
        <f aca="false">E257*F257*(1-G257/100)*(1+H257/100)</f>
        <v>28.56</v>
      </c>
      <c r="J257" s="24" t="s">
        <v>32</v>
      </c>
      <c r="K257" s="24" t="s">
        <v>101</v>
      </c>
      <c r="L257" s="43" t="s">
        <v>111</v>
      </c>
      <c r="M257" s="44" t="n">
        <f aca="false">F257*(1-G257/100)-4.2</f>
        <v>4.3</v>
      </c>
      <c r="N257" s="44" t="n">
        <f aca="false">M257*E257</f>
        <v>12.9</v>
      </c>
    </row>
    <row r="258" customFormat="false" ht="16.5" hidden="false" customHeight="true" outlineLevel="0" collapsed="false">
      <c r="A258" s="45" t="n">
        <v>45679</v>
      </c>
      <c r="B258" s="28" t="s">
        <v>356</v>
      </c>
      <c r="C258" s="46" t="s">
        <v>93</v>
      </c>
      <c r="D258" s="46" t="s">
        <v>81</v>
      </c>
      <c r="E258" s="28" t="n">
        <v>3</v>
      </c>
      <c r="F258" s="47" t="n">
        <v>3</v>
      </c>
      <c r="G258" s="28" t="n">
        <v>0</v>
      </c>
      <c r="H258" s="28" t="n">
        <v>12</v>
      </c>
      <c r="I258" s="47" t="n">
        <f aca="false">E258*F258*(1-G258/100)*(1+H258/100)</f>
        <v>10.08</v>
      </c>
      <c r="J258" s="28" t="s">
        <v>34</v>
      </c>
      <c r="K258" s="28" t="s">
        <v>101</v>
      </c>
      <c r="L258" s="46" t="s">
        <v>106</v>
      </c>
      <c r="M258" s="47" t="n">
        <f aca="false">F258*(1-G258/100)-1.5</f>
        <v>1.5</v>
      </c>
      <c r="N258" s="47" t="n">
        <f aca="false">M258*E258</f>
        <v>4.5</v>
      </c>
    </row>
    <row r="259" customFormat="false" ht="16.5" hidden="false" customHeight="true" outlineLevel="0" collapsed="false">
      <c r="A259" s="42" t="n">
        <v>45679</v>
      </c>
      <c r="B259" s="24" t="s">
        <v>357</v>
      </c>
      <c r="C259" s="43" t="s">
        <v>124</v>
      </c>
      <c r="D259" s="43" t="s">
        <v>96</v>
      </c>
      <c r="E259" s="24" t="n">
        <v>1</v>
      </c>
      <c r="F259" s="44" t="n">
        <v>4</v>
      </c>
      <c r="G259" s="24" t="n">
        <v>0</v>
      </c>
      <c r="H259" s="24" t="n">
        <v>12</v>
      </c>
      <c r="I259" s="44" t="n">
        <f aca="false">E259*F259*(1-G259/100)*(1+H259/100)</f>
        <v>4.48</v>
      </c>
      <c r="J259" s="24" t="s">
        <v>32</v>
      </c>
      <c r="K259" s="24" t="s">
        <v>85</v>
      </c>
      <c r="L259" s="43" t="s">
        <v>86</v>
      </c>
      <c r="M259" s="44" t="n">
        <f aca="false">F259*(1-G259/100)-1.8</f>
        <v>2.2</v>
      </c>
      <c r="N259" s="44" t="n">
        <f aca="false">M259*E259</f>
        <v>2.2</v>
      </c>
    </row>
    <row r="260" customFormat="false" ht="16.5" hidden="false" customHeight="true" outlineLevel="0" collapsed="false">
      <c r="A260" s="45" t="n">
        <v>45679</v>
      </c>
      <c r="B260" s="28" t="s">
        <v>358</v>
      </c>
      <c r="C260" s="46" t="s">
        <v>25</v>
      </c>
      <c r="D260" s="46" t="s">
        <v>81</v>
      </c>
      <c r="E260" s="28" t="n">
        <v>3</v>
      </c>
      <c r="F260" s="47" t="n">
        <v>3.5</v>
      </c>
      <c r="G260" s="28" t="n">
        <v>0</v>
      </c>
      <c r="H260" s="28" t="n">
        <v>12</v>
      </c>
      <c r="I260" s="47" t="n">
        <f aca="false">E260*F260*(1-G260/100)*(1+H260/100)</f>
        <v>11.76</v>
      </c>
      <c r="J260" s="28" t="s">
        <v>24</v>
      </c>
      <c r="K260" s="28" t="s">
        <v>101</v>
      </c>
      <c r="L260" s="46" t="s">
        <v>89</v>
      </c>
      <c r="M260" s="47" t="n">
        <f aca="false">F260*(1-G260/100)-2.2</f>
        <v>1.3</v>
      </c>
      <c r="N260" s="47" t="n">
        <f aca="false">M260*E260</f>
        <v>3.9</v>
      </c>
    </row>
    <row r="261" customFormat="false" ht="16.5" hidden="false" customHeight="true" outlineLevel="0" collapsed="false">
      <c r="A261" s="42" t="n">
        <v>45680</v>
      </c>
      <c r="B261" s="24" t="s">
        <v>359</v>
      </c>
      <c r="C261" s="43" t="s">
        <v>124</v>
      </c>
      <c r="D261" s="43" t="s">
        <v>96</v>
      </c>
      <c r="E261" s="24" t="n">
        <v>4</v>
      </c>
      <c r="F261" s="44" t="n">
        <v>4</v>
      </c>
      <c r="G261" s="24" t="n">
        <v>5</v>
      </c>
      <c r="H261" s="24" t="n">
        <v>12</v>
      </c>
      <c r="I261" s="44" t="n">
        <f aca="false">E261*F261*(1-G261/100)*(1+H261/100)</f>
        <v>17.024</v>
      </c>
      <c r="J261" s="24" t="s">
        <v>34</v>
      </c>
      <c r="K261" s="24" t="s">
        <v>88</v>
      </c>
      <c r="L261" s="43" t="s">
        <v>86</v>
      </c>
      <c r="M261" s="44" t="n">
        <f aca="false">F261*(1-G261/100)-1.8</f>
        <v>2</v>
      </c>
      <c r="N261" s="44" t="n">
        <f aca="false">M261*E261</f>
        <v>8</v>
      </c>
    </row>
    <row r="262" customFormat="false" ht="16.5" hidden="false" customHeight="true" outlineLevel="0" collapsed="false">
      <c r="A262" s="45" t="n">
        <v>45680</v>
      </c>
      <c r="B262" s="28" t="s">
        <v>360</v>
      </c>
      <c r="C262" s="46" t="s">
        <v>93</v>
      </c>
      <c r="D262" s="46" t="s">
        <v>81</v>
      </c>
      <c r="E262" s="28" t="n">
        <v>5</v>
      </c>
      <c r="F262" s="47" t="n">
        <v>3</v>
      </c>
      <c r="G262" s="28" t="n">
        <v>0</v>
      </c>
      <c r="H262" s="28" t="n">
        <v>12</v>
      </c>
      <c r="I262" s="47" t="n">
        <f aca="false">E262*F262*(1-G262/100)*(1+H262/100)</f>
        <v>16.8</v>
      </c>
      <c r="J262" s="28" t="s">
        <v>28</v>
      </c>
      <c r="K262" s="28" t="s">
        <v>88</v>
      </c>
      <c r="L262" s="46" t="s">
        <v>111</v>
      </c>
      <c r="M262" s="47" t="n">
        <f aca="false">F262*(1-G262/100)-1.5</f>
        <v>1.5</v>
      </c>
      <c r="N262" s="47" t="n">
        <f aca="false">M262*E262</f>
        <v>7.5</v>
      </c>
    </row>
    <row r="263" customFormat="false" ht="16.5" hidden="false" customHeight="true" outlineLevel="0" collapsed="false">
      <c r="A263" s="42" t="n">
        <v>45680</v>
      </c>
      <c r="B263" s="24" t="s">
        <v>361</v>
      </c>
      <c r="C263" s="43" t="s">
        <v>124</v>
      </c>
      <c r="D263" s="43" t="s">
        <v>96</v>
      </c>
      <c r="E263" s="24" t="n">
        <v>2</v>
      </c>
      <c r="F263" s="44" t="n">
        <v>4</v>
      </c>
      <c r="G263" s="24" t="n">
        <v>0</v>
      </c>
      <c r="H263" s="24" t="n">
        <v>12</v>
      </c>
      <c r="I263" s="44" t="n">
        <f aca="false">E263*F263*(1-G263/100)*(1+H263/100)</f>
        <v>8.96</v>
      </c>
      <c r="J263" s="24" t="s">
        <v>32</v>
      </c>
      <c r="K263" s="24" t="s">
        <v>101</v>
      </c>
      <c r="L263" s="43" t="s">
        <v>106</v>
      </c>
      <c r="M263" s="44" t="n">
        <f aca="false">F263*(1-G263/100)-1.8</f>
        <v>2.2</v>
      </c>
      <c r="N263" s="44" t="n">
        <f aca="false">M263*E263</f>
        <v>4.4</v>
      </c>
    </row>
    <row r="264" customFormat="false" ht="16.5" hidden="false" customHeight="true" outlineLevel="0" collapsed="false">
      <c r="A264" s="45" t="n">
        <v>45680</v>
      </c>
      <c r="B264" s="28" t="s">
        <v>362</v>
      </c>
      <c r="C264" s="46" t="s">
        <v>27</v>
      </c>
      <c r="D264" s="46" t="s">
        <v>81</v>
      </c>
      <c r="E264" s="28" t="n">
        <v>5</v>
      </c>
      <c r="F264" s="47" t="n">
        <v>4.5</v>
      </c>
      <c r="G264" s="28" t="n">
        <v>0</v>
      </c>
      <c r="H264" s="28" t="n">
        <v>12</v>
      </c>
      <c r="I264" s="47" t="n">
        <f aca="false">E264*F264*(1-G264/100)*(1+H264/100)</f>
        <v>25.2</v>
      </c>
      <c r="J264" s="28" t="s">
        <v>24</v>
      </c>
      <c r="K264" s="28" t="s">
        <v>82</v>
      </c>
      <c r="L264" s="46" t="s">
        <v>111</v>
      </c>
      <c r="M264" s="47" t="n">
        <f aca="false">F264*(1-G264/100)-2.8</f>
        <v>1.7</v>
      </c>
      <c r="N264" s="47" t="n">
        <f aca="false">M264*E264</f>
        <v>8.5</v>
      </c>
    </row>
    <row r="265" customFormat="false" ht="16.5" hidden="false" customHeight="true" outlineLevel="0" collapsed="false">
      <c r="A265" s="42" t="n">
        <v>45680</v>
      </c>
      <c r="B265" s="24" t="s">
        <v>363</v>
      </c>
      <c r="C265" s="43" t="s">
        <v>93</v>
      </c>
      <c r="D265" s="43" t="s">
        <v>81</v>
      </c>
      <c r="E265" s="24" t="n">
        <v>5</v>
      </c>
      <c r="F265" s="44" t="n">
        <v>3</v>
      </c>
      <c r="G265" s="24" t="n">
        <v>10</v>
      </c>
      <c r="H265" s="24" t="n">
        <v>12</v>
      </c>
      <c r="I265" s="44" t="n">
        <f aca="false">E265*F265*(1-G265/100)*(1+H265/100)</f>
        <v>15.12</v>
      </c>
      <c r="J265" s="24" t="s">
        <v>34</v>
      </c>
      <c r="K265" s="24" t="s">
        <v>82</v>
      </c>
      <c r="L265" s="43" t="s">
        <v>106</v>
      </c>
      <c r="M265" s="44" t="n">
        <f aca="false">F265*(1-G265/100)-1.5</f>
        <v>1.2</v>
      </c>
      <c r="N265" s="44" t="n">
        <f aca="false">M265*E265</f>
        <v>6</v>
      </c>
    </row>
    <row r="266" customFormat="false" ht="16.5" hidden="false" customHeight="true" outlineLevel="0" collapsed="false">
      <c r="A266" s="45" t="n">
        <v>45680</v>
      </c>
      <c r="B266" s="28" t="s">
        <v>364</v>
      </c>
      <c r="C266" s="46" t="s">
        <v>36</v>
      </c>
      <c r="D266" s="46" t="s">
        <v>96</v>
      </c>
      <c r="E266" s="28" t="n">
        <v>3</v>
      </c>
      <c r="F266" s="47" t="n">
        <v>8.5</v>
      </c>
      <c r="G266" s="28" t="n">
        <v>5</v>
      </c>
      <c r="H266" s="28" t="n">
        <v>12</v>
      </c>
      <c r="I266" s="47" t="n">
        <f aca="false">E266*F266*(1-G266/100)*(1+H266/100)</f>
        <v>27.132</v>
      </c>
      <c r="J266" s="28" t="s">
        <v>32</v>
      </c>
      <c r="K266" s="28" t="s">
        <v>97</v>
      </c>
      <c r="L266" s="46" t="s">
        <v>89</v>
      </c>
      <c r="M266" s="47" t="n">
        <f aca="false">F266*(1-G266/100)-4.2</f>
        <v>3.875</v>
      </c>
      <c r="N266" s="47" t="n">
        <f aca="false">M266*E266</f>
        <v>11.625</v>
      </c>
    </row>
    <row r="267" customFormat="false" ht="16.5" hidden="false" customHeight="true" outlineLevel="0" collapsed="false">
      <c r="A267" s="42" t="n">
        <v>45680</v>
      </c>
      <c r="B267" s="24" t="s">
        <v>365</v>
      </c>
      <c r="C267" s="43" t="s">
        <v>25</v>
      </c>
      <c r="D267" s="43" t="s">
        <v>81</v>
      </c>
      <c r="E267" s="24" t="n">
        <v>3</v>
      </c>
      <c r="F267" s="44" t="n">
        <v>3.5</v>
      </c>
      <c r="G267" s="24" t="n">
        <v>0</v>
      </c>
      <c r="H267" s="24" t="n">
        <v>12</v>
      </c>
      <c r="I267" s="44" t="n">
        <f aca="false">E267*F267*(1-G267/100)*(1+H267/100)</f>
        <v>11.76</v>
      </c>
      <c r="J267" s="24" t="s">
        <v>28</v>
      </c>
      <c r="K267" s="24" t="s">
        <v>101</v>
      </c>
      <c r="L267" s="43" t="s">
        <v>117</v>
      </c>
      <c r="M267" s="44" t="n">
        <f aca="false">F267*(1-G267/100)-2.2</f>
        <v>1.3</v>
      </c>
      <c r="N267" s="44" t="n">
        <f aca="false">M267*E267</f>
        <v>3.9</v>
      </c>
    </row>
    <row r="268" customFormat="false" ht="16.5" hidden="false" customHeight="true" outlineLevel="0" collapsed="false">
      <c r="A268" s="45" t="n">
        <v>45680</v>
      </c>
      <c r="B268" s="28" t="s">
        <v>366</v>
      </c>
      <c r="C268" s="46" t="s">
        <v>113</v>
      </c>
      <c r="D268" s="46" t="s">
        <v>96</v>
      </c>
      <c r="E268" s="28" t="n">
        <v>3</v>
      </c>
      <c r="F268" s="47" t="n">
        <v>6</v>
      </c>
      <c r="G268" s="28" t="n">
        <v>0</v>
      </c>
      <c r="H268" s="28" t="n">
        <v>12</v>
      </c>
      <c r="I268" s="47" t="n">
        <f aca="false">E268*F268*(1-G268/100)*(1+H268/100)</f>
        <v>20.16</v>
      </c>
      <c r="J268" s="28" t="s">
        <v>34</v>
      </c>
      <c r="K268" s="28" t="s">
        <v>82</v>
      </c>
      <c r="L268" s="46" t="s">
        <v>106</v>
      </c>
      <c r="M268" s="47" t="n">
        <f aca="false">F268*(1-G268/100)-2.8</f>
        <v>3.2</v>
      </c>
      <c r="N268" s="47" t="n">
        <f aca="false">M268*E268</f>
        <v>9.6</v>
      </c>
    </row>
    <row r="269" customFormat="false" ht="16.5" hidden="false" customHeight="true" outlineLevel="0" collapsed="false">
      <c r="A269" s="42" t="n">
        <v>45680</v>
      </c>
      <c r="B269" s="24" t="s">
        <v>367</v>
      </c>
      <c r="C269" s="43" t="s">
        <v>27</v>
      </c>
      <c r="D269" s="43" t="s">
        <v>81</v>
      </c>
      <c r="E269" s="24" t="n">
        <v>5</v>
      </c>
      <c r="F269" s="44" t="n">
        <v>4.5</v>
      </c>
      <c r="G269" s="24" t="n">
        <v>0</v>
      </c>
      <c r="H269" s="24" t="n">
        <v>12</v>
      </c>
      <c r="I269" s="44" t="n">
        <f aca="false">E269*F269*(1-G269/100)*(1+H269/100)</f>
        <v>25.2</v>
      </c>
      <c r="J269" s="24" t="s">
        <v>28</v>
      </c>
      <c r="K269" s="24" t="s">
        <v>97</v>
      </c>
      <c r="L269" s="43" t="s">
        <v>94</v>
      </c>
      <c r="M269" s="44" t="n">
        <f aca="false">F269*(1-G269/100)-2.8</f>
        <v>1.7</v>
      </c>
      <c r="N269" s="44" t="n">
        <f aca="false">M269*E269</f>
        <v>8.5</v>
      </c>
    </row>
    <row r="270" customFormat="false" ht="16.5" hidden="false" customHeight="true" outlineLevel="0" collapsed="false">
      <c r="A270" s="45" t="n">
        <v>45680</v>
      </c>
      <c r="B270" s="28" t="s">
        <v>368</v>
      </c>
      <c r="C270" s="46" t="s">
        <v>29</v>
      </c>
      <c r="D270" s="46" t="s">
        <v>104</v>
      </c>
      <c r="E270" s="28" t="n">
        <v>5</v>
      </c>
      <c r="F270" s="47" t="n">
        <v>2.5</v>
      </c>
      <c r="G270" s="28" t="n">
        <v>0</v>
      </c>
      <c r="H270" s="28" t="n">
        <v>12</v>
      </c>
      <c r="I270" s="47" t="n">
        <f aca="false">E270*F270*(1-G270/100)*(1+H270/100)</f>
        <v>14</v>
      </c>
      <c r="J270" s="28" t="s">
        <v>28</v>
      </c>
      <c r="K270" s="28" t="s">
        <v>88</v>
      </c>
      <c r="L270" s="46" t="s">
        <v>94</v>
      </c>
      <c r="M270" s="47" t="n">
        <f aca="false">F270*(1-G270/100)-1.1</f>
        <v>1.4</v>
      </c>
      <c r="N270" s="47" t="n">
        <f aca="false">M270*E270</f>
        <v>7</v>
      </c>
    </row>
    <row r="271" customFormat="false" ht="16.5" hidden="false" customHeight="true" outlineLevel="0" collapsed="false">
      <c r="A271" s="42" t="n">
        <v>45680</v>
      </c>
      <c r="B271" s="24" t="s">
        <v>369</v>
      </c>
      <c r="C271" s="43" t="s">
        <v>36</v>
      </c>
      <c r="D271" s="43" t="s">
        <v>96</v>
      </c>
      <c r="E271" s="24" t="n">
        <v>2</v>
      </c>
      <c r="F271" s="44" t="n">
        <v>8.5</v>
      </c>
      <c r="G271" s="24" t="n">
        <v>10</v>
      </c>
      <c r="H271" s="24" t="n">
        <v>12</v>
      </c>
      <c r="I271" s="44" t="n">
        <f aca="false">E271*F271*(1-G271/100)*(1+H271/100)</f>
        <v>17.136</v>
      </c>
      <c r="J271" s="24" t="s">
        <v>24</v>
      </c>
      <c r="K271" s="24" t="s">
        <v>85</v>
      </c>
      <c r="L271" s="43" t="s">
        <v>117</v>
      </c>
      <c r="M271" s="44" t="n">
        <f aca="false">F271*(1-G271/100)-4.2</f>
        <v>3.45</v>
      </c>
      <c r="N271" s="44" t="n">
        <f aca="false">M271*E271</f>
        <v>6.9</v>
      </c>
    </row>
    <row r="272" customFormat="false" ht="16.5" hidden="false" customHeight="true" outlineLevel="0" collapsed="false">
      <c r="A272" s="45" t="n">
        <v>45680</v>
      </c>
      <c r="B272" s="28" t="s">
        <v>370</v>
      </c>
      <c r="C272" s="46" t="s">
        <v>36</v>
      </c>
      <c r="D272" s="46" t="s">
        <v>96</v>
      </c>
      <c r="E272" s="28" t="n">
        <v>1</v>
      </c>
      <c r="F272" s="47" t="n">
        <v>8.5</v>
      </c>
      <c r="G272" s="28" t="n">
        <v>0</v>
      </c>
      <c r="H272" s="28" t="n">
        <v>12</v>
      </c>
      <c r="I272" s="47" t="n">
        <f aca="false">E272*F272*(1-G272/100)*(1+H272/100)</f>
        <v>9.52</v>
      </c>
      <c r="J272" s="28" t="s">
        <v>28</v>
      </c>
      <c r="K272" s="28" t="s">
        <v>82</v>
      </c>
      <c r="L272" s="46" t="s">
        <v>91</v>
      </c>
      <c r="M272" s="47" t="n">
        <f aca="false">F272*(1-G272/100)-4.2</f>
        <v>4.3</v>
      </c>
      <c r="N272" s="47" t="n">
        <f aca="false">M272*E272</f>
        <v>4.3</v>
      </c>
    </row>
    <row r="273" customFormat="false" ht="16.5" hidden="false" customHeight="true" outlineLevel="0" collapsed="false">
      <c r="A273" s="42" t="n">
        <v>45680</v>
      </c>
      <c r="B273" s="24" t="s">
        <v>371</v>
      </c>
      <c r="C273" s="43" t="s">
        <v>36</v>
      </c>
      <c r="D273" s="43" t="s">
        <v>96</v>
      </c>
      <c r="E273" s="24" t="n">
        <v>4</v>
      </c>
      <c r="F273" s="44" t="n">
        <v>8.5</v>
      </c>
      <c r="G273" s="24" t="n">
        <v>0</v>
      </c>
      <c r="H273" s="24" t="n">
        <v>12</v>
      </c>
      <c r="I273" s="44" t="n">
        <f aca="false">E273*F273*(1-G273/100)*(1+H273/100)</f>
        <v>38.08</v>
      </c>
      <c r="J273" s="24" t="s">
        <v>26</v>
      </c>
      <c r="K273" s="24" t="s">
        <v>82</v>
      </c>
      <c r="L273" s="43" t="s">
        <v>83</v>
      </c>
      <c r="M273" s="44" t="n">
        <f aca="false">F273*(1-G273/100)-4.2</f>
        <v>4.3</v>
      </c>
      <c r="N273" s="44" t="n">
        <f aca="false">M273*E273</f>
        <v>17.2</v>
      </c>
    </row>
    <row r="274" customFormat="false" ht="16.5" hidden="false" customHeight="true" outlineLevel="0" collapsed="false">
      <c r="A274" s="45" t="n">
        <v>45680</v>
      </c>
      <c r="B274" s="28" t="s">
        <v>372</v>
      </c>
      <c r="C274" s="46" t="s">
        <v>27</v>
      </c>
      <c r="D274" s="46" t="s">
        <v>81</v>
      </c>
      <c r="E274" s="28" t="n">
        <v>3</v>
      </c>
      <c r="F274" s="47" t="n">
        <v>4.5</v>
      </c>
      <c r="G274" s="28" t="n">
        <v>0</v>
      </c>
      <c r="H274" s="28" t="n">
        <v>12</v>
      </c>
      <c r="I274" s="47" t="n">
        <f aca="false">E274*F274*(1-G274/100)*(1+H274/100)</f>
        <v>15.12</v>
      </c>
      <c r="J274" s="28" t="s">
        <v>34</v>
      </c>
      <c r="K274" s="28" t="s">
        <v>88</v>
      </c>
      <c r="L274" s="46" t="s">
        <v>117</v>
      </c>
      <c r="M274" s="47" t="n">
        <f aca="false">F274*(1-G274/100)-2.8</f>
        <v>1.7</v>
      </c>
      <c r="N274" s="47" t="n">
        <f aca="false">M274*E274</f>
        <v>5.1</v>
      </c>
    </row>
    <row r="275" customFormat="false" ht="16.5" hidden="false" customHeight="true" outlineLevel="0" collapsed="false">
      <c r="A275" s="42" t="n">
        <v>45681</v>
      </c>
      <c r="B275" s="24" t="s">
        <v>373</v>
      </c>
      <c r="C275" s="43" t="s">
        <v>36</v>
      </c>
      <c r="D275" s="43" t="s">
        <v>96</v>
      </c>
      <c r="E275" s="24" t="n">
        <v>5</v>
      </c>
      <c r="F275" s="44" t="n">
        <v>8.5</v>
      </c>
      <c r="G275" s="24" t="n">
        <v>0</v>
      </c>
      <c r="H275" s="24" t="n">
        <v>12</v>
      </c>
      <c r="I275" s="44" t="n">
        <f aca="false">E275*F275*(1-G275/100)*(1+H275/100)</f>
        <v>47.6</v>
      </c>
      <c r="J275" s="24" t="s">
        <v>34</v>
      </c>
      <c r="K275" s="24" t="s">
        <v>85</v>
      </c>
      <c r="L275" s="43" t="s">
        <v>83</v>
      </c>
      <c r="M275" s="44" t="n">
        <f aca="false">F275*(1-G275/100)-4.2</f>
        <v>4.3</v>
      </c>
      <c r="N275" s="44" t="n">
        <f aca="false">M275*E275</f>
        <v>21.5</v>
      </c>
    </row>
    <row r="276" customFormat="false" ht="16.5" hidden="false" customHeight="true" outlineLevel="0" collapsed="false">
      <c r="A276" s="45" t="n">
        <v>45681</v>
      </c>
      <c r="B276" s="28" t="s">
        <v>374</v>
      </c>
      <c r="C276" s="46" t="s">
        <v>29</v>
      </c>
      <c r="D276" s="46" t="s">
        <v>104</v>
      </c>
      <c r="E276" s="28" t="n">
        <v>2</v>
      </c>
      <c r="F276" s="47" t="n">
        <v>2.5</v>
      </c>
      <c r="G276" s="28" t="n">
        <v>10</v>
      </c>
      <c r="H276" s="28" t="n">
        <v>12</v>
      </c>
      <c r="I276" s="47" t="n">
        <f aca="false">E276*F276*(1-G276/100)*(1+H276/100)</f>
        <v>5.04</v>
      </c>
      <c r="J276" s="28" t="s">
        <v>26</v>
      </c>
      <c r="K276" s="28" t="s">
        <v>85</v>
      </c>
      <c r="L276" s="46" t="s">
        <v>86</v>
      </c>
      <c r="M276" s="47" t="n">
        <f aca="false">F276*(1-G276/100)-1.1</f>
        <v>1.15</v>
      </c>
      <c r="N276" s="47" t="n">
        <f aca="false">M276*E276</f>
        <v>2.3</v>
      </c>
    </row>
    <row r="277" customFormat="false" ht="16.5" hidden="false" customHeight="true" outlineLevel="0" collapsed="false">
      <c r="A277" s="42" t="n">
        <v>45681</v>
      </c>
      <c r="B277" s="24" t="s">
        <v>375</v>
      </c>
      <c r="C277" s="43" t="s">
        <v>113</v>
      </c>
      <c r="D277" s="43" t="s">
        <v>96</v>
      </c>
      <c r="E277" s="24" t="n">
        <v>3</v>
      </c>
      <c r="F277" s="44" t="n">
        <v>6</v>
      </c>
      <c r="G277" s="24" t="n">
        <v>0</v>
      </c>
      <c r="H277" s="24" t="n">
        <v>12</v>
      </c>
      <c r="I277" s="44" t="n">
        <f aca="false">E277*F277*(1-G277/100)*(1+H277/100)</f>
        <v>20.16</v>
      </c>
      <c r="J277" s="24" t="s">
        <v>32</v>
      </c>
      <c r="K277" s="24" t="s">
        <v>88</v>
      </c>
      <c r="L277" s="43" t="s">
        <v>122</v>
      </c>
      <c r="M277" s="44" t="n">
        <f aca="false">F277*(1-G277/100)-2.8</f>
        <v>3.2</v>
      </c>
      <c r="N277" s="44" t="n">
        <f aca="false">M277*E277</f>
        <v>9.6</v>
      </c>
    </row>
    <row r="278" customFormat="false" ht="16.5" hidden="false" customHeight="true" outlineLevel="0" collapsed="false">
      <c r="A278" s="45" t="n">
        <v>45681</v>
      </c>
      <c r="B278" s="28" t="s">
        <v>376</v>
      </c>
      <c r="C278" s="46" t="s">
        <v>93</v>
      </c>
      <c r="D278" s="46" t="s">
        <v>81</v>
      </c>
      <c r="E278" s="28" t="n">
        <v>2</v>
      </c>
      <c r="F278" s="47" t="n">
        <v>3</v>
      </c>
      <c r="G278" s="28" t="n">
        <v>10</v>
      </c>
      <c r="H278" s="28" t="n">
        <v>12</v>
      </c>
      <c r="I278" s="47" t="n">
        <f aca="false">E278*F278*(1-G278/100)*(1+H278/100)</f>
        <v>6.048</v>
      </c>
      <c r="J278" s="28" t="s">
        <v>26</v>
      </c>
      <c r="K278" s="28" t="s">
        <v>97</v>
      </c>
      <c r="L278" s="46" t="s">
        <v>111</v>
      </c>
      <c r="M278" s="47" t="n">
        <f aca="false">F278*(1-G278/100)-1.5</f>
        <v>1.2</v>
      </c>
      <c r="N278" s="47" t="n">
        <f aca="false">M278*E278</f>
        <v>2.4</v>
      </c>
    </row>
    <row r="279" customFormat="false" ht="16.5" hidden="false" customHeight="true" outlineLevel="0" collapsed="false">
      <c r="A279" s="42" t="n">
        <v>45681</v>
      </c>
      <c r="B279" s="24" t="s">
        <v>377</v>
      </c>
      <c r="C279" s="43" t="s">
        <v>33</v>
      </c>
      <c r="D279" s="43" t="s">
        <v>104</v>
      </c>
      <c r="E279" s="24" t="n">
        <v>3</v>
      </c>
      <c r="F279" s="44" t="n">
        <v>5</v>
      </c>
      <c r="G279" s="24" t="n">
        <v>10</v>
      </c>
      <c r="H279" s="24" t="n">
        <v>12</v>
      </c>
      <c r="I279" s="44" t="n">
        <f aca="false">E279*F279*(1-G279/100)*(1+H279/100)</f>
        <v>15.12</v>
      </c>
      <c r="J279" s="24" t="s">
        <v>32</v>
      </c>
      <c r="K279" s="24" t="s">
        <v>85</v>
      </c>
      <c r="L279" s="43" t="s">
        <v>122</v>
      </c>
      <c r="M279" s="44" t="n">
        <f aca="false">F279*(1-G279/100)-2.5</f>
        <v>2</v>
      </c>
      <c r="N279" s="44" t="n">
        <f aca="false">M279*E279</f>
        <v>6</v>
      </c>
    </row>
    <row r="280" customFormat="false" ht="16.5" hidden="false" customHeight="true" outlineLevel="0" collapsed="false">
      <c r="A280" s="45" t="n">
        <v>45682</v>
      </c>
      <c r="B280" s="28" t="s">
        <v>378</v>
      </c>
      <c r="C280" s="46" t="s">
        <v>124</v>
      </c>
      <c r="D280" s="46" t="s">
        <v>96</v>
      </c>
      <c r="E280" s="28" t="n">
        <v>5</v>
      </c>
      <c r="F280" s="47" t="n">
        <v>4</v>
      </c>
      <c r="G280" s="28" t="n">
        <v>5</v>
      </c>
      <c r="H280" s="28" t="n">
        <v>12</v>
      </c>
      <c r="I280" s="47" t="n">
        <f aca="false">E280*F280*(1-G280/100)*(1+H280/100)</f>
        <v>21.28</v>
      </c>
      <c r="J280" s="28" t="s">
        <v>26</v>
      </c>
      <c r="K280" s="28" t="s">
        <v>82</v>
      </c>
      <c r="L280" s="46" t="s">
        <v>89</v>
      </c>
      <c r="M280" s="47" t="n">
        <f aca="false">F280*(1-G280/100)-1.8</f>
        <v>2</v>
      </c>
      <c r="N280" s="47" t="n">
        <f aca="false">M280*E280</f>
        <v>10</v>
      </c>
    </row>
    <row r="281" customFormat="false" ht="16.5" hidden="false" customHeight="true" outlineLevel="0" collapsed="false">
      <c r="A281" s="42" t="n">
        <v>45682</v>
      </c>
      <c r="B281" s="24" t="s">
        <v>379</v>
      </c>
      <c r="C281" s="43" t="s">
        <v>29</v>
      </c>
      <c r="D281" s="43" t="s">
        <v>104</v>
      </c>
      <c r="E281" s="24" t="n">
        <v>3</v>
      </c>
      <c r="F281" s="44" t="n">
        <v>2.5</v>
      </c>
      <c r="G281" s="24" t="n">
        <v>0</v>
      </c>
      <c r="H281" s="24" t="n">
        <v>12</v>
      </c>
      <c r="I281" s="44" t="n">
        <f aca="false">E281*F281*(1-G281/100)*(1+H281/100)</f>
        <v>8.4</v>
      </c>
      <c r="J281" s="24" t="s">
        <v>32</v>
      </c>
      <c r="K281" s="24" t="s">
        <v>97</v>
      </c>
      <c r="L281" s="43" t="s">
        <v>117</v>
      </c>
      <c r="M281" s="44" t="n">
        <f aca="false">F281*(1-G281/100)-1.1</f>
        <v>1.4</v>
      </c>
      <c r="N281" s="44" t="n">
        <f aca="false">M281*E281</f>
        <v>4.2</v>
      </c>
    </row>
    <row r="282" customFormat="false" ht="16.5" hidden="false" customHeight="true" outlineLevel="0" collapsed="false">
      <c r="A282" s="45" t="n">
        <v>45682</v>
      </c>
      <c r="B282" s="28" t="s">
        <v>380</v>
      </c>
      <c r="C282" s="46" t="s">
        <v>27</v>
      </c>
      <c r="D282" s="46" t="s">
        <v>81</v>
      </c>
      <c r="E282" s="28" t="n">
        <v>5</v>
      </c>
      <c r="F282" s="47" t="n">
        <v>4.5</v>
      </c>
      <c r="G282" s="28" t="n">
        <v>0</v>
      </c>
      <c r="H282" s="28" t="n">
        <v>12</v>
      </c>
      <c r="I282" s="47" t="n">
        <f aca="false">E282*F282*(1-G282/100)*(1+H282/100)</f>
        <v>25.2</v>
      </c>
      <c r="J282" s="28" t="s">
        <v>28</v>
      </c>
      <c r="K282" s="28" t="s">
        <v>101</v>
      </c>
      <c r="L282" s="46" t="s">
        <v>83</v>
      </c>
      <c r="M282" s="47" t="n">
        <f aca="false">F282*(1-G282/100)-2.8</f>
        <v>1.7</v>
      </c>
      <c r="N282" s="47" t="n">
        <f aca="false">M282*E282</f>
        <v>8.5</v>
      </c>
    </row>
    <row r="283" customFormat="false" ht="16.5" hidden="false" customHeight="true" outlineLevel="0" collapsed="false">
      <c r="A283" s="42" t="n">
        <v>45682</v>
      </c>
      <c r="B283" s="24" t="s">
        <v>381</v>
      </c>
      <c r="C283" s="43" t="s">
        <v>35</v>
      </c>
      <c r="D283" s="43" t="s">
        <v>81</v>
      </c>
      <c r="E283" s="24" t="n">
        <v>4</v>
      </c>
      <c r="F283" s="44" t="n">
        <v>1.5</v>
      </c>
      <c r="G283" s="24" t="n">
        <v>10</v>
      </c>
      <c r="H283" s="24" t="n">
        <v>12</v>
      </c>
      <c r="I283" s="44" t="n">
        <f aca="false">E283*F283*(1-G283/100)*(1+H283/100)</f>
        <v>6.048</v>
      </c>
      <c r="J283" s="24" t="s">
        <v>26</v>
      </c>
      <c r="K283" s="24" t="s">
        <v>85</v>
      </c>
      <c r="L283" s="43" t="s">
        <v>98</v>
      </c>
      <c r="M283" s="44" t="n">
        <f aca="false">F283*(1-G283/100)-0.6</f>
        <v>0.75</v>
      </c>
      <c r="N283" s="44" t="n">
        <f aca="false">M283*E283</f>
        <v>3</v>
      </c>
    </row>
    <row r="284" customFormat="false" ht="16.5" hidden="false" customHeight="true" outlineLevel="0" collapsed="false">
      <c r="A284" s="45" t="n">
        <v>45682</v>
      </c>
      <c r="B284" s="28" t="s">
        <v>382</v>
      </c>
      <c r="C284" s="46" t="s">
        <v>33</v>
      </c>
      <c r="D284" s="46" t="s">
        <v>104</v>
      </c>
      <c r="E284" s="28" t="n">
        <v>4</v>
      </c>
      <c r="F284" s="47" t="n">
        <v>5</v>
      </c>
      <c r="G284" s="28" t="n">
        <v>0</v>
      </c>
      <c r="H284" s="28" t="n">
        <v>12</v>
      </c>
      <c r="I284" s="47" t="n">
        <f aca="false">E284*F284*(1-G284/100)*(1+H284/100)</f>
        <v>22.4</v>
      </c>
      <c r="J284" s="28" t="s">
        <v>24</v>
      </c>
      <c r="K284" s="28" t="s">
        <v>85</v>
      </c>
      <c r="L284" s="46" t="s">
        <v>86</v>
      </c>
      <c r="M284" s="47" t="n">
        <f aca="false">F284*(1-G284/100)-2.5</f>
        <v>2.5</v>
      </c>
      <c r="N284" s="47" t="n">
        <f aca="false">M284*E284</f>
        <v>10</v>
      </c>
    </row>
    <row r="285" customFormat="false" ht="16.5" hidden="false" customHeight="true" outlineLevel="0" collapsed="false">
      <c r="A285" s="42" t="n">
        <v>45682</v>
      </c>
      <c r="B285" s="24" t="s">
        <v>383</v>
      </c>
      <c r="C285" s="43" t="s">
        <v>113</v>
      </c>
      <c r="D285" s="43" t="s">
        <v>96</v>
      </c>
      <c r="E285" s="24" t="n">
        <v>5</v>
      </c>
      <c r="F285" s="44" t="n">
        <v>6</v>
      </c>
      <c r="G285" s="24" t="n">
        <v>0</v>
      </c>
      <c r="H285" s="24" t="n">
        <v>12</v>
      </c>
      <c r="I285" s="44" t="n">
        <f aca="false">E285*F285*(1-G285/100)*(1+H285/100)</f>
        <v>33.6</v>
      </c>
      <c r="J285" s="24" t="s">
        <v>26</v>
      </c>
      <c r="K285" s="24" t="s">
        <v>85</v>
      </c>
      <c r="L285" s="43" t="s">
        <v>98</v>
      </c>
      <c r="M285" s="44" t="n">
        <f aca="false">F285*(1-G285/100)-2.8</f>
        <v>3.2</v>
      </c>
      <c r="N285" s="44" t="n">
        <f aca="false">M285*E285</f>
        <v>16</v>
      </c>
    </row>
    <row r="286" customFormat="false" ht="16.5" hidden="false" customHeight="true" outlineLevel="0" collapsed="false">
      <c r="A286" s="45" t="n">
        <v>45682</v>
      </c>
      <c r="B286" s="28" t="s">
        <v>384</v>
      </c>
      <c r="C286" s="46" t="s">
        <v>36</v>
      </c>
      <c r="D286" s="46" t="s">
        <v>96</v>
      </c>
      <c r="E286" s="28" t="n">
        <v>2</v>
      </c>
      <c r="F286" s="47" t="n">
        <v>8.5</v>
      </c>
      <c r="G286" s="28" t="n">
        <v>0</v>
      </c>
      <c r="H286" s="28" t="n">
        <v>12</v>
      </c>
      <c r="I286" s="47" t="n">
        <f aca="false">E286*F286*(1-G286/100)*(1+H286/100)</f>
        <v>19.04</v>
      </c>
      <c r="J286" s="28" t="s">
        <v>28</v>
      </c>
      <c r="K286" s="28" t="s">
        <v>101</v>
      </c>
      <c r="L286" s="46" t="s">
        <v>106</v>
      </c>
      <c r="M286" s="47" t="n">
        <f aca="false">F286*(1-G286/100)-4.2</f>
        <v>4.3</v>
      </c>
      <c r="N286" s="47" t="n">
        <f aca="false">M286*E286</f>
        <v>8.6</v>
      </c>
    </row>
    <row r="287" customFormat="false" ht="16.5" hidden="false" customHeight="true" outlineLevel="0" collapsed="false">
      <c r="A287" s="42" t="n">
        <v>45682</v>
      </c>
      <c r="B287" s="24" t="s">
        <v>385</v>
      </c>
      <c r="C287" s="43" t="s">
        <v>29</v>
      </c>
      <c r="D287" s="43" t="s">
        <v>104</v>
      </c>
      <c r="E287" s="24" t="n">
        <v>2</v>
      </c>
      <c r="F287" s="44" t="n">
        <v>2.5</v>
      </c>
      <c r="G287" s="24" t="n">
        <v>0</v>
      </c>
      <c r="H287" s="24" t="n">
        <v>12</v>
      </c>
      <c r="I287" s="44" t="n">
        <f aca="false">E287*F287*(1-G287/100)*(1+H287/100)</f>
        <v>5.6</v>
      </c>
      <c r="J287" s="24" t="s">
        <v>28</v>
      </c>
      <c r="K287" s="24" t="s">
        <v>85</v>
      </c>
      <c r="L287" s="43" t="s">
        <v>83</v>
      </c>
      <c r="M287" s="44" t="n">
        <f aca="false">F287*(1-G287/100)-1.1</f>
        <v>1.4</v>
      </c>
      <c r="N287" s="44" t="n">
        <f aca="false">M287*E287</f>
        <v>2.8</v>
      </c>
    </row>
    <row r="288" customFormat="false" ht="16.5" hidden="false" customHeight="true" outlineLevel="0" collapsed="false">
      <c r="A288" s="45" t="n">
        <v>45682</v>
      </c>
      <c r="B288" s="28" t="s">
        <v>386</v>
      </c>
      <c r="C288" s="46" t="s">
        <v>93</v>
      </c>
      <c r="D288" s="46" t="s">
        <v>81</v>
      </c>
      <c r="E288" s="28" t="n">
        <v>4</v>
      </c>
      <c r="F288" s="47" t="n">
        <v>3</v>
      </c>
      <c r="G288" s="28" t="n">
        <v>10</v>
      </c>
      <c r="H288" s="28" t="n">
        <v>12</v>
      </c>
      <c r="I288" s="47" t="n">
        <f aca="false">E288*F288*(1-G288/100)*(1+H288/100)</f>
        <v>12.096</v>
      </c>
      <c r="J288" s="28" t="s">
        <v>24</v>
      </c>
      <c r="K288" s="28" t="s">
        <v>101</v>
      </c>
      <c r="L288" s="46" t="s">
        <v>86</v>
      </c>
      <c r="M288" s="47" t="n">
        <f aca="false">F288*(1-G288/100)-1.5</f>
        <v>1.2</v>
      </c>
      <c r="N288" s="47" t="n">
        <f aca="false">M288*E288</f>
        <v>4.8</v>
      </c>
    </row>
    <row r="289" customFormat="false" ht="16.5" hidden="false" customHeight="true" outlineLevel="0" collapsed="false">
      <c r="A289" s="42" t="n">
        <v>45682</v>
      </c>
      <c r="B289" s="24" t="s">
        <v>387</v>
      </c>
      <c r="C289" s="43" t="s">
        <v>35</v>
      </c>
      <c r="D289" s="43" t="s">
        <v>81</v>
      </c>
      <c r="E289" s="24" t="n">
        <v>2</v>
      </c>
      <c r="F289" s="44" t="n">
        <v>1.5</v>
      </c>
      <c r="G289" s="24" t="n">
        <v>0</v>
      </c>
      <c r="H289" s="24" t="n">
        <v>12</v>
      </c>
      <c r="I289" s="44" t="n">
        <f aca="false">E289*F289*(1-G289/100)*(1+H289/100)</f>
        <v>3.36</v>
      </c>
      <c r="J289" s="24" t="s">
        <v>34</v>
      </c>
      <c r="K289" s="24" t="s">
        <v>88</v>
      </c>
      <c r="L289" s="43" t="s">
        <v>117</v>
      </c>
      <c r="M289" s="44" t="n">
        <f aca="false">F289*(1-G289/100)-0.6</f>
        <v>0.9</v>
      </c>
      <c r="N289" s="44" t="n">
        <f aca="false">M289*E289</f>
        <v>1.8</v>
      </c>
    </row>
    <row r="290" customFormat="false" ht="16.5" hidden="false" customHeight="true" outlineLevel="0" collapsed="false">
      <c r="A290" s="45" t="n">
        <v>45682</v>
      </c>
      <c r="B290" s="28" t="s">
        <v>388</v>
      </c>
      <c r="C290" s="46" t="s">
        <v>113</v>
      </c>
      <c r="D290" s="46" t="s">
        <v>96</v>
      </c>
      <c r="E290" s="28" t="n">
        <v>1</v>
      </c>
      <c r="F290" s="47" t="n">
        <v>6</v>
      </c>
      <c r="G290" s="28" t="n">
        <v>0</v>
      </c>
      <c r="H290" s="28" t="n">
        <v>12</v>
      </c>
      <c r="I290" s="47" t="n">
        <f aca="false">E290*F290*(1-G290/100)*(1+H290/100)</f>
        <v>6.72</v>
      </c>
      <c r="J290" s="28" t="s">
        <v>26</v>
      </c>
      <c r="K290" s="28" t="s">
        <v>97</v>
      </c>
      <c r="L290" s="46" t="s">
        <v>98</v>
      </c>
      <c r="M290" s="47" t="n">
        <f aca="false">F290*(1-G290/100)-2.8</f>
        <v>3.2</v>
      </c>
      <c r="N290" s="47" t="n">
        <f aca="false">M290*E290</f>
        <v>3.2</v>
      </c>
    </row>
    <row r="291" customFormat="false" ht="16.5" hidden="false" customHeight="true" outlineLevel="0" collapsed="false">
      <c r="A291" s="42" t="n">
        <v>45683</v>
      </c>
      <c r="B291" s="24" t="s">
        <v>389</v>
      </c>
      <c r="C291" s="43" t="s">
        <v>33</v>
      </c>
      <c r="D291" s="43" t="s">
        <v>104</v>
      </c>
      <c r="E291" s="24" t="n">
        <v>4</v>
      </c>
      <c r="F291" s="44" t="n">
        <v>5</v>
      </c>
      <c r="G291" s="24" t="n">
        <v>10</v>
      </c>
      <c r="H291" s="24" t="n">
        <v>12</v>
      </c>
      <c r="I291" s="44" t="n">
        <f aca="false">E291*F291*(1-G291/100)*(1+H291/100)</f>
        <v>20.16</v>
      </c>
      <c r="J291" s="24" t="s">
        <v>32</v>
      </c>
      <c r="K291" s="24" t="s">
        <v>101</v>
      </c>
      <c r="L291" s="43" t="s">
        <v>98</v>
      </c>
      <c r="M291" s="44" t="n">
        <f aca="false">F291*(1-G291/100)-2.5</f>
        <v>2</v>
      </c>
      <c r="N291" s="44" t="n">
        <f aca="false">M291*E291</f>
        <v>8</v>
      </c>
    </row>
    <row r="292" customFormat="false" ht="16.5" hidden="false" customHeight="true" outlineLevel="0" collapsed="false">
      <c r="A292" s="45" t="n">
        <v>45683</v>
      </c>
      <c r="B292" s="28" t="s">
        <v>390</v>
      </c>
      <c r="C292" s="46" t="s">
        <v>93</v>
      </c>
      <c r="D292" s="46" t="s">
        <v>81</v>
      </c>
      <c r="E292" s="28" t="n">
        <v>5</v>
      </c>
      <c r="F292" s="47" t="n">
        <v>3</v>
      </c>
      <c r="G292" s="28" t="n">
        <v>10</v>
      </c>
      <c r="H292" s="28" t="n">
        <v>12</v>
      </c>
      <c r="I292" s="47" t="n">
        <f aca="false">E292*F292*(1-G292/100)*(1+H292/100)</f>
        <v>15.12</v>
      </c>
      <c r="J292" s="28" t="s">
        <v>24</v>
      </c>
      <c r="K292" s="28" t="s">
        <v>88</v>
      </c>
      <c r="L292" s="46" t="s">
        <v>89</v>
      </c>
      <c r="M292" s="47" t="n">
        <f aca="false">F292*(1-G292/100)-1.5</f>
        <v>1.2</v>
      </c>
      <c r="N292" s="47" t="n">
        <f aca="false">M292*E292</f>
        <v>6</v>
      </c>
    </row>
    <row r="293" customFormat="false" ht="16.5" hidden="false" customHeight="true" outlineLevel="0" collapsed="false">
      <c r="A293" s="42" t="n">
        <v>45683</v>
      </c>
      <c r="B293" s="24" t="s">
        <v>391</v>
      </c>
      <c r="C293" s="43" t="s">
        <v>33</v>
      </c>
      <c r="D293" s="43" t="s">
        <v>104</v>
      </c>
      <c r="E293" s="24" t="n">
        <v>2</v>
      </c>
      <c r="F293" s="44" t="n">
        <v>5</v>
      </c>
      <c r="G293" s="24" t="n">
        <v>0</v>
      </c>
      <c r="H293" s="24" t="n">
        <v>12</v>
      </c>
      <c r="I293" s="44" t="n">
        <f aca="false">E293*F293*(1-G293/100)*(1+H293/100)</f>
        <v>11.2</v>
      </c>
      <c r="J293" s="24" t="s">
        <v>32</v>
      </c>
      <c r="K293" s="24" t="s">
        <v>101</v>
      </c>
      <c r="L293" s="43" t="s">
        <v>89</v>
      </c>
      <c r="M293" s="44" t="n">
        <f aca="false">F293*(1-G293/100)-2.5</f>
        <v>2.5</v>
      </c>
      <c r="N293" s="44" t="n">
        <f aca="false">M293*E293</f>
        <v>5</v>
      </c>
    </row>
    <row r="294" customFormat="false" ht="16.5" hidden="false" customHeight="true" outlineLevel="0" collapsed="false">
      <c r="A294" s="45" t="n">
        <v>45683</v>
      </c>
      <c r="B294" s="28" t="s">
        <v>392</v>
      </c>
      <c r="C294" s="46" t="s">
        <v>36</v>
      </c>
      <c r="D294" s="46" t="s">
        <v>96</v>
      </c>
      <c r="E294" s="28" t="n">
        <v>2</v>
      </c>
      <c r="F294" s="47" t="n">
        <v>8.5</v>
      </c>
      <c r="G294" s="28" t="n">
        <v>10</v>
      </c>
      <c r="H294" s="28" t="n">
        <v>12</v>
      </c>
      <c r="I294" s="47" t="n">
        <f aca="false">E294*F294*(1-G294/100)*(1+H294/100)</f>
        <v>17.136</v>
      </c>
      <c r="J294" s="28" t="s">
        <v>32</v>
      </c>
      <c r="K294" s="28" t="s">
        <v>82</v>
      </c>
      <c r="L294" s="46" t="s">
        <v>98</v>
      </c>
      <c r="M294" s="47" t="n">
        <f aca="false">F294*(1-G294/100)-4.2</f>
        <v>3.45</v>
      </c>
      <c r="N294" s="47" t="n">
        <f aca="false">M294*E294</f>
        <v>6.9</v>
      </c>
    </row>
    <row r="295" customFormat="false" ht="16.5" hidden="false" customHeight="true" outlineLevel="0" collapsed="false">
      <c r="A295" s="42" t="n">
        <v>45683</v>
      </c>
      <c r="B295" s="24" t="s">
        <v>393</v>
      </c>
      <c r="C295" s="43" t="s">
        <v>124</v>
      </c>
      <c r="D295" s="43" t="s">
        <v>96</v>
      </c>
      <c r="E295" s="24" t="n">
        <v>3</v>
      </c>
      <c r="F295" s="44" t="n">
        <v>4</v>
      </c>
      <c r="G295" s="24" t="n">
        <v>0</v>
      </c>
      <c r="H295" s="24" t="n">
        <v>12</v>
      </c>
      <c r="I295" s="44" t="n">
        <f aca="false">E295*F295*(1-G295/100)*(1+H295/100)</f>
        <v>13.44</v>
      </c>
      <c r="J295" s="24" t="s">
        <v>34</v>
      </c>
      <c r="K295" s="24" t="s">
        <v>88</v>
      </c>
      <c r="L295" s="43" t="s">
        <v>117</v>
      </c>
      <c r="M295" s="44" t="n">
        <f aca="false">F295*(1-G295/100)-1.8</f>
        <v>2.2</v>
      </c>
      <c r="N295" s="44" t="n">
        <f aca="false">M295*E295</f>
        <v>6.6</v>
      </c>
    </row>
    <row r="296" customFormat="false" ht="16.5" hidden="false" customHeight="true" outlineLevel="0" collapsed="false">
      <c r="A296" s="45" t="n">
        <v>45684</v>
      </c>
      <c r="B296" s="28" t="s">
        <v>394</v>
      </c>
      <c r="C296" s="46" t="s">
        <v>124</v>
      </c>
      <c r="D296" s="46" t="s">
        <v>96</v>
      </c>
      <c r="E296" s="28" t="n">
        <v>1</v>
      </c>
      <c r="F296" s="47" t="n">
        <v>4</v>
      </c>
      <c r="G296" s="28" t="n">
        <v>5</v>
      </c>
      <c r="H296" s="28" t="n">
        <v>12</v>
      </c>
      <c r="I296" s="47" t="n">
        <f aca="false">E296*F296*(1-G296/100)*(1+H296/100)</f>
        <v>4.256</v>
      </c>
      <c r="J296" s="28" t="s">
        <v>32</v>
      </c>
      <c r="K296" s="28" t="s">
        <v>101</v>
      </c>
      <c r="L296" s="46" t="s">
        <v>94</v>
      </c>
      <c r="M296" s="47" t="n">
        <f aca="false">F296*(1-G296/100)-1.8</f>
        <v>2</v>
      </c>
      <c r="N296" s="47" t="n">
        <f aca="false">M296*E296</f>
        <v>2</v>
      </c>
    </row>
    <row r="297" customFormat="false" ht="16.5" hidden="false" customHeight="true" outlineLevel="0" collapsed="false">
      <c r="A297" s="42" t="n">
        <v>45684</v>
      </c>
      <c r="B297" s="24" t="s">
        <v>395</v>
      </c>
      <c r="C297" s="43" t="s">
        <v>36</v>
      </c>
      <c r="D297" s="43" t="s">
        <v>96</v>
      </c>
      <c r="E297" s="24" t="n">
        <v>3</v>
      </c>
      <c r="F297" s="44" t="n">
        <v>8.5</v>
      </c>
      <c r="G297" s="24" t="n">
        <v>0</v>
      </c>
      <c r="H297" s="24" t="n">
        <v>12</v>
      </c>
      <c r="I297" s="44" t="n">
        <f aca="false">E297*F297*(1-G297/100)*(1+H297/100)</f>
        <v>28.56</v>
      </c>
      <c r="J297" s="24" t="s">
        <v>28</v>
      </c>
      <c r="K297" s="24" t="s">
        <v>101</v>
      </c>
      <c r="L297" s="43" t="s">
        <v>106</v>
      </c>
      <c r="M297" s="44" t="n">
        <f aca="false">F297*(1-G297/100)-4.2</f>
        <v>4.3</v>
      </c>
      <c r="N297" s="44" t="n">
        <f aca="false">M297*E297</f>
        <v>12.9</v>
      </c>
    </row>
    <row r="298" customFormat="false" ht="16.5" hidden="false" customHeight="true" outlineLevel="0" collapsed="false">
      <c r="A298" s="45" t="n">
        <v>45684</v>
      </c>
      <c r="B298" s="28" t="s">
        <v>396</v>
      </c>
      <c r="C298" s="46" t="s">
        <v>33</v>
      </c>
      <c r="D298" s="46" t="s">
        <v>104</v>
      </c>
      <c r="E298" s="28" t="n">
        <v>1</v>
      </c>
      <c r="F298" s="47" t="n">
        <v>5</v>
      </c>
      <c r="G298" s="28" t="n">
        <v>10</v>
      </c>
      <c r="H298" s="28" t="n">
        <v>12</v>
      </c>
      <c r="I298" s="47" t="n">
        <f aca="false">E298*F298*(1-G298/100)*(1+H298/100)</f>
        <v>5.04</v>
      </c>
      <c r="J298" s="28" t="s">
        <v>28</v>
      </c>
      <c r="K298" s="28" t="s">
        <v>82</v>
      </c>
      <c r="L298" s="46" t="s">
        <v>86</v>
      </c>
      <c r="M298" s="47" t="n">
        <f aca="false">F298*(1-G298/100)-2.5</f>
        <v>2</v>
      </c>
      <c r="N298" s="47" t="n">
        <f aca="false">M298*E298</f>
        <v>2</v>
      </c>
    </row>
    <row r="299" customFormat="false" ht="16.5" hidden="false" customHeight="true" outlineLevel="0" collapsed="false">
      <c r="A299" s="42" t="n">
        <v>45684</v>
      </c>
      <c r="B299" s="24" t="s">
        <v>397</v>
      </c>
      <c r="C299" s="43" t="s">
        <v>36</v>
      </c>
      <c r="D299" s="43" t="s">
        <v>96</v>
      </c>
      <c r="E299" s="24" t="n">
        <v>5</v>
      </c>
      <c r="F299" s="44" t="n">
        <v>8.5</v>
      </c>
      <c r="G299" s="24" t="n">
        <v>0</v>
      </c>
      <c r="H299" s="24" t="n">
        <v>12</v>
      </c>
      <c r="I299" s="44" t="n">
        <f aca="false">E299*F299*(1-G299/100)*(1+H299/100)</f>
        <v>47.6</v>
      </c>
      <c r="J299" s="24" t="s">
        <v>26</v>
      </c>
      <c r="K299" s="24" t="s">
        <v>85</v>
      </c>
      <c r="L299" s="43" t="s">
        <v>111</v>
      </c>
      <c r="M299" s="44" t="n">
        <f aca="false">F299*(1-G299/100)-4.2</f>
        <v>4.3</v>
      </c>
      <c r="N299" s="44" t="n">
        <f aca="false">M299*E299</f>
        <v>21.5</v>
      </c>
    </row>
    <row r="300" customFormat="false" ht="16.5" hidden="false" customHeight="true" outlineLevel="0" collapsed="false">
      <c r="A300" s="45" t="n">
        <v>45684</v>
      </c>
      <c r="B300" s="28" t="s">
        <v>398</v>
      </c>
      <c r="C300" s="46" t="s">
        <v>29</v>
      </c>
      <c r="D300" s="46" t="s">
        <v>104</v>
      </c>
      <c r="E300" s="28" t="n">
        <v>2</v>
      </c>
      <c r="F300" s="47" t="n">
        <v>2.5</v>
      </c>
      <c r="G300" s="28" t="n">
        <v>0</v>
      </c>
      <c r="H300" s="28" t="n">
        <v>12</v>
      </c>
      <c r="I300" s="47" t="n">
        <f aca="false">E300*F300*(1-G300/100)*(1+H300/100)</f>
        <v>5.6</v>
      </c>
      <c r="J300" s="28" t="s">
        <v>32</v>
      </c>
      <c r="K300" s="28" t="s">
        <v>101</v>
      </c>
      <c r="L300" s="46" t="s">
        <v>122</v>
      </c>
      <c r="M300" s="47" t="n">
        <f aca="false">F300*(1-G300/100)-1.1</f>
        <v>1.4</v>
      </c>
      <c r="N300" s="47" t="n">
        <f aca="false">M300*E300</f>
        <v>2.8</v>
      </c>
    </row>
    <row r="301" customFormat="false" ht="16.5" hidden="false" customHeight="true" outlineLevel="0" collapsed="false">
      <c r="A301" s="42" t="n">
        <v>45684</v>
      </c>
      <c r="B301" s="24" t="s">
        <v>399</v>
      </c>
      <c r="C301" s="43" t="s">
        <v>33</v>
      </c>
      <c r="D301" s="43" t="s">
        <v>104</v>
      </c>
      <c r="E301" s="24" t="n">
        <v>1</v>
      </c>
      <c r="F301" s="44" t="n">
        <v>5</v>
      </c>
      <c r="G301" s="24" t="n">
        <v>0</v>
      </c>
      <c r="H301" s="24" t="n">
        <v>12</v>
      </c>
      <c r="I301" s="44" t="n">
        <f aca="false">E301*F301*(1-G301/100)*(1+H301/100)</f>
        <v>5.6</v>
      </c>
      <c r="J301" s="24" t="s">
        <v>24</v>
      </c>
      <c r="K301" s="24" t="s">
        <v>97</v>
      </c>
      <c r="L301" s="43" t="s">
        <v>122</v>
      </c>
      <c r="M301" s="44" t="n">
        <f aca="false">F301*(1-G301/100)-2.5</f>
        <v>2.5</v>
      </c>
      <c r="N301" s="44" t="n">
        <f aca="false">M301*E301</f>
        <v>2.5</v>
      </c>
    </row>
    <row r="302" customFormat="false" ht="16.5" hidden="false" customHeight="true" outlineLevel="0" collapsed="false">
      <c r="A302" s="45" t="n">
        <v>45684</v>
      </c>
      <c r="B302" s="28" t="s">
        <v>400</v>
      </c>
      <c r="C302" s="46" t="s">
        <v>124</v>
      </c>
      <c r="D302" s="46" t="s">
        <v>96</v>
      </c>
      <c r="E302" s="28" t="n">
        <v>4</v>
      </c>
      <c r="F302" s="47" t="n">
        <v>4</v>
      </c>
      <c r="G302" s="28" t="n">
        <v>10</v>
      </c>
      <c r="H302" s="28" t="n">
        <v>12</v>
      </c>
      <c r="I302" s="47" t="n">
        <f aca="false">E302*F302*(1-G302/100)*(1+H302/100)</f>
        <v>16.128</v>
      </c>
      <c r="J302" s="28" t="s">
        <v>32</v>
      </c>
      <c r="K302" s="28" t="s">
        <v>97</v>
      </c>
      <c r="L302" s="46" t="s">
        <v>86</v>
      </c>
      <c r="M302" s="47" t="n">
        <f aca="false">F302*(1-G302/100)-1.8</f>
        <v>1.8</v>
      </c>
      <c r="N302" s="47" t="n">
        <f aca="false">M302*E302</f>
        <v>7.2</v>
      </c>
    </row>
    <row r="303" customFormat="false" ht="16.5" hidden="false" customHeight="true" outlineLevel="0" collapsed="false">
      <c r="A303" s="42" t="n">
        <v>45684</v>
      </c>
      <c r="B303" s="24" t="s">
        <v>401</v>
      </c>
      <c r="C303" s="43" t="s">
        <v>33</v>
      </c>
      <c r="D303" s="43" t="s">
        <v>104</v>
      </c>
      <c r="E303" s="24" t="n">
        <v>3</v>
      </c>
      <c r="F303" s="44" t="n">
        <v>5</v>
      </c>
      <c r="G303" s="24" t="n">
        <v>0</v>
      </c>
      <c r="H303" s="24" t="n">
        <v>12</v>
      </c>
      <c r="I303" s="44" t="n">
        <f aca="false">E303*F303*(1-G303/100)*(1+H303/100)</f>
        <v>16.8</v>
      </c>
      <c r="J303" s="24" t="s">
        <v>24</v>
      </c>
      <c r="K303" s="24" t="s">
        <v>97</v>
      </c>
      <c r="L303" s="43" t="s">
        <v>122</v>
      </c>
      <c r="M303" s="44" t="n">
        <f aca="false">F303*(1-G303/100)-2.5</f>
        <v>2.5</v>
      </c>
      <c r="N303" s="44" t="n">
        <f aca="false">M303*E303</f>
        <v>7.5</v>
      </c>
    </row>
    <row r="304" customFormat="false" ht="16.5" hidden="false" customHeight="true" outlineLevel="0" collapsed="false">
      <c r="A304" s="45" t="n">
        <v>45684</v>
      </c>
      <c r="B304" s="28" t="s">
        <v>402</v>
      </c>
      <c r="C304" s="46" t="s">
        <v>27</v>
      </c>
      <c r="D304" s="46" t="s">
        <v>81</v>
      </c>
      <c r="E304" s="28" t="n">
        <v>3</v>
      </c>
      <c r="F304" s="47" t="n">
        <v>4.5</v>
      </c>
      <c r="G304" s="28" t="n">
        <v>5</v>
      </c>
      <c r="H304" s="28" t="n">
        <v>12</v>
      </c>
      <c r="I304" s="47" t="n">
        <f aca="false">E304*F304*(1-G304/100)*(1+H304/100)</f>
        <v>14.364</v>
      </c>
      <c r="J304" s="28" t="s">
        <v>32</v>
      </c>
      <c r="K304" s="28" t="s">
        <v>85</v>
      </c>
      <c r="L304" s="46" t="s">
        <v>94</v>
      </c>
      <c r="M304" s="47" t="n">
        <f aca="false">F304*(1-G304/100)-2.8</f>
        <v>1.475</v>
      </c>
      <c r="N304" s="47" t="n">
        <f aca="false">M304*E304</f>
        <v>4.425</v>
      </c>
    </row>
    <row r="305" customFormat="false" ht="16.5" hidden="false" customHeight="true" outlineLevel="0" collapsed="false">
      <c r="A305" s="42" t="n">
        <v>45684</v>
      </c>
      <c r="B305" s="24" t="s">
        <v>403</v>
      </c>
      <c r="C305" s="43" t="s">
        <v>36</v>
      </c>
      <c r="D305" s="43" t="s">
        <v>96</v>
      </c>
      <c r="E305" s="24" t="n">
        <v>2</v>
      </c>
      <c r="F305" s="44" t="n">
        <v>8.5</v>
      </c>
      <c r="G305" s="24" t="n">
        <v>5</v>
      </c>
      <c r="H305" s="24" t="n">
        <v>12</v>
      </c>
      <c r="I305" s="44" t="n">
        <f aca="false">E305*F305*(1-G305/100)*(1+H305/100)</f>
        <v>18.088</v>
      </c>
      <c r="J305" s="24" t="s">
        <v>32</v>
      </c>
      <c r="K305" s="24" t="s">
        <v>97</v>
      </c>
      <c r="L305" s="43" t="s">
        <v>117</v>
      </c>
      <c r="M305" s="44" t="n">
        <f aca="false">F305*(1-G305/100)-4.2</f>
        <v>3.875</v>
      </c>
      <c r="N305" s="44" t="n">
        <f aca="false">M305*E305</f>
        <v>7.75</v>
      </c>
    </row>
    <row r="306" customFormat="false" ht="16.5" hidden="false" customHeight="true" outlineLevel="0" collapsed="false">
      <c r="A306" s="45" t="n">
        <v>45684</v>
      </c>
      <c r="B306" s="28" t="s">
        <v>404</v>
      </c>
      <c r="C306" s="46" t="s">
        <v>35</v>
      </c>
      <c r="D306" s="46" t="s">
        <v>81</v>
      </c>
      <c r="E306" s="28" t="n">
        <v>1</v>
      </c>
      <c r="F306" s="47" t="n">
        <v>1.5</v>
      </c>
      <c r="G306" s="28" t="n">
        <v>5</v>
      </c>
      <c r="H306" s="28" t="n">
        <v>12</v>
      </c>
      <c r="I306" s="47" t="n">
        <f aca="false">E306*F306*(1-G306/100)*(1+H306/100)</f>
        <v>1.596</v>
      </c>
      <c r="J306" s="28" t="s">
        <v>24</v>
      </c>
      <c r="K306" s="28" t="s">
        <v>85</v>
      </c>
      <c r="L306" s="46" t="s">
        <v>89</v>
      </c>
      <c r="M306" s="47" t="n">
        <f aca="false">F306*(1-G306/100)-0.6</f>
        <v>0.825</v>
      </c>
      <c r="N306" s="47" t="n">
        <f aca="false">M306*E306</f>
        <v>0.825</v>
      </c>
    </row>
    <row r="307" customFormat="false" ht="16.5" hidden="false" customHeight="true" outlineLevel="0" collapsed="false">
      <c r="A307" s="42" t="n">
        <v>45684</v>
      </c>
      <c r="B307" s="24" t="s">
        <v>405</v>
      </c>
      <c r="C307" s="43" t="s">
        <v>29</v>
      </c>
      <c r="D307" s="43" t="s">
        <v>104</v>
      </c>
      <c r="E307" s="24" t="n">
        <v>5</v>
      </c>
      <c r="F307" s="44" t="n">
        <v>2.5</v>
      </c>
      <c r="G307" s="24" t="n">
        <v>0</v>
      </c>
      <c r="H307" s="24" t="n">
        <v>12</v>
      </c>
      <c r="I307" s="44" t="n">
        <f aca="false">E307*F307*(1-G307/100)*(1+H307/100)</f>
        <v>14</v>
      </c>
      <c r="J307" s="24" t="s">
        <v>28</v>
      </c>
      <c r="K307" s="24" t="s">
        <v>101</v>
      </c>
      <c r="L307" s="43" t="s">
        <v>98</v>
      </c>
      <c r="M307" s="44" t="n">
        <f aca="false">F307*(1-G307/100)-1.1</f>
        <v>1.4</v>
      </c>
      <c r="N307" s="44" t="n">
        <f aca="false">M307*E307</f>
        <v>7</v>
      </c>
    </row>
    <row r="308" customFormat="false" ht="16.5" hidden="false" customHeight="true" outlineLevel="0" collapsed="false">
      <c r="A308" s="45" t="n">
        <v>45684</v>
      </c>
      <c r="B308" s="28" t="s">
        <v>406</v>
      </c>
      <c r="C308" s="46" t="s">
        <v>36</v>
      </c>
      <c r="D308" s="46" t="s">
        <v>96</v>
      </c>
      <c r="E308" s="28" t="n">
        <v>3</v>
      </c>
      <c r="F308" s="47" t="n">
        <v>8.5</v>
      </c>
      <c r="G308" s="28" t="n">
        <v>0</v>
      </c>
      <c r="H308" s="28" t="n">
        <v>12</v>
      </c>
      <c r="I308" s="47" t="n">
        <f aca="false">E308*F308*(1-G308/100)*(1+H308/100)</f>
        <v>28.56</v>
      </c>
      <c r="J308" s="28" t="s">
        <v>32</v>
      </c>
      <c r="K308" s="28" t="s">
        <v>88</v>
      </c>
      <c r="L308" s="46" t="s">
        <v>94</v>
      </c>
      <c r="M308" s="47" t="n">
        <f aca="false">F308*(1-G308/100)-4.2</f>
        <v>4.3</v>
      </c>
      <c r="N308" s="47" t="n">
        <f aca="false">M308*E308</f>
        <v>12.9</v>
      </c>
    </row>
    <row r="309" customFormat="false" ht="16.5" hidden="false" customHeight="true" outlineLevel="0" collapsed="false">
      <c r="A309" s="42" t="n">
        <v>45685</v>
      </c>
      <c r="B309" s="24" t="s">
        <v>407</v>
      </c>
      <c r="C309" s="43" t="s">
        <v>93</v>
      </c>
      <c r="D309" s="43" t="s">
        <v>81</v>
      </c>
      <c r="E309" s="24" t="n">
        <v>3</v>
      </c>
      <c r="F309" s="44" t="n">
        <v>3</v>
      </c>
      <c r="G309" s="24" t="n">
        <v>5</v>
      </c>
      <c r="H309" s="24" t="n">
        <v>12</v>
      </c>
      <c r="I309" s="44" t="n">
        <f aca="false">E309*F309*(1-G309/100)*(1+H309/100)</f>
        <v>9.576</v>
      </c>
      <c r="J309" s="24" t="s">
        <v>24</v>
      </c>
      <c r="K309" s="24" t="s">
        <v>97</v>
      </c>
      <c r="L309" s="43" t="s">
        <v>89</v>
      </c>
      <c r="M309" s="44" t="n">
        <f aca="false">F309*(1-G309/100)-1.5</f>
        <v>1.35</v>
      </c>
      <c r="N309" s="44" t="n">
        <f aca="false">M309*E309</f>
        <v>4.05</v>
      </c>
    </row>
    <row r="310" customFormat="false" ht="16.5" hidden="false" customHeight="true" outlineLevel="0" collapsed="false">
      <c r="A310" s="45" t="n">
        <v>45685</v>
      </c>
      <c r="B310" s="28" t="s">
        <v>408</v>
      </c>
      <c r="C310" s="46" t="s">
        <v>113</v>
      </c>
      <c r="D310" s="46" t="s">
        <v>96</v>
      </c>
      <c r="E310" s="28" t="n">
        <v>3</v>
      </c>
      <c r="F310" s="47" t="n">
        <v>6</v>
      </c>
      <c r="G310" s="28" t="n">
        <v>0</v>
      </c>
      <c r="H310" s="28" t="n">
        <v>12</v>
      </c>
      <c r="I310" s="47" t="n">
        <f aca="false">E310*F310*(1-G310/100)*(1+H310/100)</f>
        <v>20.16</v>
      </c>
      <c r="J310" s="28" t="s">
        <v>24</v>
      </c>
      <c r="K310" s="28" t="s">
        <v>85</v>
      </c>
      <c r="L310" s="46" t="s">
        <v>106</v>
      </c>
      <c r="M310" s="47" t="n">
        <f aca="false">F310*(1-G310/100)-2.8</f>
        <v>3.2</v>
      </c>
      <c r="N310" s="47" t="n">
        <f aca="false">M310*E310</f>
        <v>9.6</v>
      </c>
    </row>
    <row r="311" customFormat="false" ht="16.5" hidden="false" customHeight="true" outlineLevel="0" collapsed="false">
      <c r="A311" s="42" t="n">
        <v>45685</v>
      </c>
      <c r="B311" s="24" t="s">
        <v>409</v>
      </c>
      <c r="C311" s="43" t="s">
        <v>124</v>
      </c>
      <c r="D311" s="43" t="s">
        <v>96</v>
      </c>
      <c r="E311" s="24" t="n">
        <v>2</v>
      </c>
      <c r="F311" s="44" t="n">
        <v>4</v>
      </c>
      <c r="G311" s="24" t="n">
        <v>0</v>
      </c>
      <c r="H311" s="24" t="n">
        <v>12</v>
      </c>
      <c r="I311" s="44" t="n">
        <f aca="false">E311*F311*(1-G311/100)*(1+H311/100)</f>
        <v>8.96</v>
      </c>
      <c r="J311" s="24" t="s">
        <v>26</v>
      </c>
      <c r="K311" s="24" t="s">
        <v>88</v>
      </c>
      <c r="L311" s="43" t="s">
        <v>111</v>
      </c>
      <c r="M311" s="44" t="n">
        <f aca="false">F311*(1-G311/100)-1.8</f>
        <v>2.2</v>
      </c>
      <c r="N311" s="44" t="n">
        <f aca="false">M311*E311</f>
        <v>4.4</v>
      </c>
    </row>
    <row r="312" customFormat="false" ht="16.5" hidden="false" customHeight="true" outlineLevel="0" collapsed="false">
      <c r="A312" s="45" t="n">
        <v>45685</v>
      </c>
      <c r="B312" s="28" t="s">
        <v>410</v>
      </c>
      <c r="C312" s="46" t="s">
        <v>25</v>
      </c>
      <c r="D312" s="46" t="s">
        <v>81</v>
      </c>
      <c r="E312" s="28" t="n">
        <v>2</v>
      </c>
      <c r="F312" s="47" t="n">
        <v>3.5</v>
      </c>
      <c r="G312" s="28" t="n">
        <v>0</v>
      </c>
      <c r="H312" s="28" t="n">
        <v>12</v>
      </c>
      <c r="I312" s="47" t="n">
        <f aca="false">E312*F312*(1-G312/100)*(1+H312/100)</f>
        <v>7.84</v>
      </c>
      <c r="J312" s="28" t="s">
        <v>26</v>
      </c>
      <c r="K312" s="28" t="s">
        <v>97</v>
      </c>
      <c r="L312" s="46" t="s">
        <v>106</v>
      </c>
      <c r="M312" s="47" t="n">
        <f aca="false">F312*(1-G312/100)-2.2</f>
        <v>1.3</v>
      </c>
      <c r="N312" s="47" t="n">
        <f aca="false">M312*E312</f>
        <v>2.6</v>
      </c>
    </row>
    <row r="313" customFormat="false" ht="16.5" hidden="false" customHeight="true" outlineLevel="0" collapsed="false">
      <c r="A313" s="42" t="n">
        <v>45685</v>
      </c>
      <c r="B313" s="24" t="s">
        <v>411</v>
      </c>
      <c r="C313" s="43" t="s">
        <v>113</v>
      </c>
      <c r="D313" s="43" t="s">
        <v>96</v>
      </c>
      <c r="E313" s="24" t="n">
        <v>5</v>
      </c>
      <c r="F313" s="44" t="n">
        <v>6</v>
      </c>
      <c r="G313" s="24" t="n">
        <v>0</v>
      </c>
      <c r="H313" s="24" t="n">
        <v>12</v>
      </c>
      <c r="I313" s="44" t="n">
        <f aca="false">E313*F313*(1-G313/100)*(1+H313/100)</f>
        <v>33.6</v>
      </c>
      <c r="J313" s="24" t="s">
        <v>34</v>
      </c>
      <c r="K313" s="24" t="s">
        <v>82</v>
      </c>
      <c r="L313" s="43" t="s">
        <v>111</v>
      </c>
      <c r="M313" s="44" t="n">
        <f aca="false">F313*(1-G313/100)-2.8</f>
        <v>3.2</v>
      </c>
      <c r="N313" s="44" t="n">
        <f aca="false">M313*E313</f>
        <v>16</v>
      </c>
    </row>
    <row r="314" customFormat="false" ht="16.5" hidden="false" customHeight="true" outlineLevel="0" collapsed="false">
      <c r="A314" s="45" t="n">
        <v>45685</v>
      </c>
      <c r="B314" s="28" t="s">
        <v>412</v>
      </c>
      <c r="C314" s="46" t="s">
        <v>36</v>
      </c>
      <c r="D314" s="46" t="s">
        <v>96</v>
      </c>
      <c r="E314" s="28" t="n">
        <v>3</v>
      </c>
      <c r="F314" s="47" t="n">
        <v>8.5</v>
      </c>
      <c r="G314" s="28" t="n">
        <v>5</v>
      </c>
      <c r="H314" s="28" t="n">
        <v>12</v>
      </c>
      <c r="I314" s="47" t="n">
        <f aca="false">E314*F314*(1-G314/100)*(1+H314/100)</f>
        <v>27.132</v>
      </c>
      <c r="J314" s="28" t="s">
        <v>24</v>
      </c>
      <c r="K314" s="28" t="s">
        <v>88</v>
      </c>
      <c r="L314" s="46" t="s">
        <v>83</v>
      </c>
      <c r="M314" s="47" t="n">
        <f aca="false">F314*(1-G314/100)-4.2</f>
        <v>3.875</v>
      </c>
      <c r="N314" s="47" t="n">
        <f aca="false">M314*E314</f>
        <v>11.625</v>
      </c>
    </row>
    <row r="315" customFormat="false" ht="16.5" hidden="false" customHeight="true" outlineLevel="0" collapsed="false">
      <c r="A315" s="42" t="n">
        <v>45685</v>
      </c>
      <c r="B315" s="24" t="s">
        <v>413</v>
      </c>
      <c r="C315" s="43" t="s">
        <v>124</v>
      </c>
      <c r="D315" s="43" t="s">
        <v>96</v>
      </c>
      <c r="E315" s="24" t="n">
        <v>3</v>
      </c>
      <c r="F315" s="44" t="n">
        <v>4</v>
      </c>
      <c r="G315" s="24" t="n">
        <v>5</v>
      </c>
      <c r="H315" s="24" t="n">
        <v>12</v>
      </c>
      <c r="I315" s="44" t="n">
        <f aca="false">E315*F315*(1-G315/100)*(1+H315/100)</f>
        <v>12.768</v>
      </c>
      <c r="J315" s="24" t="s">
        <v>28</v>
      </c>
      <c r="K315" s="24" t="s">
        <v>97</v>
      </c>
      <c r="L315" s="43" t="s">
        <v>91</v>
      </c>
      <c r="M315" s="44" t="n">
        <f aca="false">F315*(1-G315/100)-1.8</f>
        <v>2</v>
      </c>
      <c r="N315" s="44" t="n">
        <f aca="false">M315*E315</f>
        <v>6</v>
      </c>
    </row>
    <row r="316" customFormat="false" ht="16.5" hidden="false" customHeight="true" outlineLevel="0" collapsed="false">
      <c r="A316" s="45" t="n">
        <v>45686</v>
      </c>
      <c r="B316" s="28" t="s">
        <v>414</v>
      </c>
      <c r="C316" s="46" t="s">
        <v>25</v>
      </c>
      <c r="D316" s="46" t="s">
        <v>81</v>
      </c>
      <c r="E316" s="28" t="n">
        <v>2</v>
      </c>
      <c r="F316" s="47" t="n">
        <v>3.5</v>
      </c>
      <c r="G316" s="28" t="n">
        <v>5</v>
      </c>
      <c r="H316" s="28" t="n">
        <v>12</v>
      </c>
      <c r="I316" s="47" t="n">
        <f aca="false">E316*F316*(1-G316/100)*(1+H316/100)</f>
        <v>7.448</v>
      </c>
      <c r="J316" s="28" t="s">
        <v>34</v>
      </c>
      <c r="K316" s="28" t="s">
        <v>85</v>
      </c>
      <c r="L316" s="46" t="s">
        <v>117</v>
      </c>
      <c r="M316" s="47" t="n">
        <f aca="false">F316*(1-G316/100)-2.2</f>
        <v>1.125</v>
      </c>
      <c r="N316" s="47" t="n">
        <f aca="false">M316*E316</f>
        <v>2.25</v>
      </c>
    </row>
    <row r="317" customFormat="false" ht="16.5" hidden="false" customHeight="true" outlineLevel="0" collapsed="false">
      <c r="A317" s="42" t="n">
        <v>45686</v>
      </c>
      <c r="B317" s="24" t="s">
        <v>415</v>
      </c>
      <c r="C317" s="43" t="s">
        <v>27</v>
      </c>
      <c r="D317" s="43" t="s">
        <v>81</v>
      </c>
      <c r="E317" s="24" t="n">
        <v>3</v>
      </c>
      <c r="F317" s="44" t="n">
        <v>4.5</v>
      </c>
      <c r="G317" s="24" t="n">
        <v>0</v>
      </c>
      <c r="H317" s="24" t="n">
        <v>12</v>
      </c>
      <c r="I317" s="44" t="n">
        <f aca="false">E317*F317*(1-G317/100)*(1+H317/100)</f>
        <v>15.12</v>
      </c>
      <c r="J317" s="24" t="s">
        <v>32</v>
      </c>
      <c r="K317" s="24" t="s">
        <v>82</v>
      </c>
      <c r="L317" s="43" t="s">
        <v>89</v>
      </c>
      <c r="M317" s="44" t="n">
        <f aca="false">F317*(1-G317/100)-2.8</f>
        <v>1.7</v>
      </c>
      <c r="N317" s="44" t="n">
        <f aca="false">M317*E317</f>
        <v>5.1</v>
      </c>
    </row>
    <row r="318" customFormat="false" ht="16.5" hidden="false" customHeight="true" outlineLevel="0" collapsed="false">
      <c r="A318" s="45" t="n">
        <v>45686</v>
      </c>
      <c r="B318" s="28" t="s">
        <v>416</v>
      </c>
      <c r="C318" s="46" t="s">
        <v>35</v>
      </c>
      <c r="D318" s="46" t="s">
        <v>81</v>
      </c>
      <c r="E318" s="28" t="n">
        <v>4</v>
      </c>
      <c r="F318" s="47" t="n">
        <v>1.5</v>
      </c>
      <c r="G318" s="28" t="n">
        <v>0</v>
      </c>
      <c r="H318" s="28" t="n">
        <v>12</v>
      </c>
      <c r="I318" s="47" t="n">
        <f aca="false">E318*F318*(1-G318/100)*(1+H318/100)</f>
        <v>6.72</v>
      </c>
      <c r="J318" s="28" t="s">
        <v>24</v>
      </c>
      <c r="K318" s="28" t="s">
        <v>82</v>
      </c>
      <c r="L318" s="46" t="s">
        <v>98</v>
      </c>
      <c r="M318" s="47" t="n">
        <f aca="false">F318*(1-G318/100)-0.6</f>
        <v>0.9</v>
      </c>
      <c r="N318" s="47" t="n">
        <f aca="false">M318*E318</f>
        <v>3.6</v>
      </c>
    </row>
    <row r="319" customFormat="false" ht="16.5" hidden="false" customHeight="true" outlineLevel="0" collapsed="false">
      <c r="A319" s="42" t="n">
        <v>45686</v>
      </c>
      <c r="B319" s="24" t="s">
        <v>417</v>
      </c>
      <c r="C319" s="43" t="s">
        <v>93</v>
      </c>
      <c r="D319" s="43" t="s">
        <v>81</v>
      </c>
      <c r="E319" s="24" t="n">
        <v>2</v>
      </c>
      <c r="F319" s="44" t="n">
        <v>3</v>
      </c>
      <c r="G319" s="24" t="n">
        <v>5</v>
      </c>
      <c r="H319" s="24" t="n">
        <v>12</v>
      </c>
      <c r="I319" s="44" t="n">
        <f aca="false">E319*F319*(1-G319/100)*(1+H319/100)</f>
        <v>6.384</v>
      </c>
      <c r="J319" s="24" t="s">
        <v>24</v>
      </c>
      <c r="K319" s="24" t="s">
        <v>97</v>
      </c>
      <c r="L319" s="43" t="s">
        <v>106</v>
      </c>
      <c r="M319" s="44" t="n">
        <f aca="false">F319*(1-G319/100)-1.5</f>
        <v>1.35</v>
      </c>
      <c r="N319" s="44" t="n">
        <f aca="false">M319*E319</f>
        <v>2.7</v>
      </c>
    </row>
    <row r="320" customFormat="false" ht="16.5" hidden="false" customHeight="true" outlineLevel="0" collapsed="false">
      <c r="A320" s="45" t="n">
        <v>45686</v>
      </c>
      <c r="B320" s="28" t="s">
        <v>418</v>
      </c>
      <c r="C320" s="46" t="s">
        <v>27</v>
      </c>
      <c r="D320" s="46" t="s">
        <v>81</v>
      </c>
      <c r="E320" s="28" t="n">
        <v>5</v>
      </c>
      <c r="F320" s="47" t="n">
        <v>4.5</v>
      </c>
      <c r="G320" s="28" t="n">
        <v>10</v>
      </c>
      <c r="H320" s="28" t="n">
        <v>12</v>
      </c>
      <c r="I320" s="47" t="n">
        <f aca="false">E320*F320*(1-G320/100)*(1+H320/100)</f>
        <v>22.68</v>
      </c>
      <c r="J320" s="28" t="s">
        <v>28</v>
      </c>
      <c r="K320" s="28" t="s">
        <v>97</v>
      </c>
      <c r="L320" s="46" t="s">
        <v>83</v>
      </c>
      <c r="M320" s="47" t="n">
        <f aca="false">F320*(1-G320/100)-2.8</f>
        <v>1.25</v>
      </c>
      <c r="N320" s="47" t="n">
        <f aca="false">M320*E320</f>
        <v>6.25</v>
      </c>
    </row>
    <row r="321" customFormat="false" ht="16.5" hidden="false" customHeight="true" outlineLevel="0" collapsed="false">
      <c r="A321" s="42" t="n">
        <v>45686</v>
      </c>
      <c r="B321" s="24" t="s">
        <v>419</v>
      </c>
      <c r="C321" s="43" t="s">
        <v>29</v>
      </c>
      <c r="D321" s="43" t="s">
        <v>104</v>
      </c>
      <c r="E321" s="24" t="n">
        <v>3</v>
      </c>
      <c r="F321" s="44" t="n">
        <v>2.5</v>
      </c>
      <c r="G321" s="24" t="n">
        <v>10</v>
      </c>
      <c r="H321" s="24" t="n">
        <v>12</v>
      </c>
      <c r="I321" s="44" t="n">
        <f aca="false">E321*F321*(1-G321/100)*(1+H321/100)</f>
        <v>7.56</v>
      </c>
      <c r="J321" s="24" t="s">
        <v>26</v>
      </c>
      <c r="K321" s="24" t="s">
        <v>101</v>
      </c>
      <c r="L321" s="43" t="s">
        <v>91</v>
      </c>
      <c r="M321" s="44" t="n">
        <f aca="false">F321*(1-G321/100)-1.1</f>
        <v>1.15</v>
      </c>
      <c r="N321" s="44" t="n">
        <f aca="false">M321*E321</f>
        <v>3.45</v>
      </c>
    </row>
    <row r="322" customFormat="false" ht="16.5" hidden="false" customHeight="true" outlineLevel="0" collapsed="false">
      <c r="A322" s="45" t="n">
        <v>45687</v>
      </c>
      <c r="B322" s="28" t="s">
        <v>420</v>
      </c>
      <c r="C322" s="46" t="s">
        <v>33</v>
      </c>
      <c r="D322" s="46" t="s">
        <v>104</v>
      </c>
      <c r="E322" s="28" t="n">
        <v>4</v>
      </c>
      <c r="F322" s="47" t="n">
        <v>5</v>
      </c>
      <c r="G322" s="28" t="n">
        <v>0</v>
      </c>
      <c r="H322" s="28" t="n">
        <v>12</v>
      </c>
      <c r="I322" s="47" t="n">
        <f aca="false">E322*F322*(1-G322/100)*(1+H322/100)</f>
        <v>22.4</v>
      </c>
      <c r="J322" s="28" t="s">
        <v>28</v>
      </c>
      <c r="K322" s="28" t="s">
        <v>88</v>
      </c>
      <c r="L322" s="46" t="s">
        <v>89</v>
      </c>
      <c r="M322" s="47" t="n">
        <f aca="false">F322*(1-G322/100)-2.5</f>
        <v>2.5</v>
      </c>
      <c r="N322" s="47" t="n">
        <f aca="false">M322*E322</f>
        <v>10</v>
      </c>
    </row>
    <row r="323" customFormat="false" ht="16.5" hidden="false" customHeight="true" outlineLevel="0" collapsed="false">
      <c r="A323" s="42" t="n">
        <v>45687</v>
      </c>
      <c r="B323" s="24" t="s">
        <v>421</v>
      </c>
      <c r="C323" s="43" t="s">
        <v>36</v>
      </c>
      <c r="D323" s="43" t="s">
        <v>96</v>
      </c>
      <c r="E323" s="24" t="n">
        <v>4</v>
      </c>
      <c r="F323" s="44" t="n">
        <v>8.5</v>
      </c>
      <c r="G323" s="24" t="n">
        <v>10</v>
      </c>
      <c r="H323" s="24" t="n">
        <v>12</v>
      </c>
      <c r="I323" s="44" t="n">
        <f aca="false">E323*F323*(1-G323/100)*(1+H323/100)</f>
        <v>34.272</v>
      </c>
      <c r="J323" s="24" t="s">
        <v>26</v>
      </c>
      <c r="K323" s="24" t="s">
        <v>88</v>
      </c>
      <c r="L323" s="43" t="s">
        <v>98</v>
      </c>
      <c r="M323" s="44" t="n">
        <f aca="false">F323*(1-G323/100)-4.2</f>
        <v>3.45</v>
      </c>
      <c r="N323" s="44" t="n">
        <f aca="false">M323*E323</f>
        <v>13.8</v>
      </c>
    </row>
    <row r="324" customFormat="false" ht="16.5" hidden="false" customHeight="true" outlineLevel="0" collapsed="false">
      <c r="A324" s="45" t="n">
        <v>45687</v>
      </c>
      <c r="B324" s="28" t="s">
        <v>422</v>
      </c>
      <c r="C324" s="46" t="s">
        <v>27</v>
      </c>
      <c r="D324" s="46" t="s">
        <v>81</v>
      </c>
      <c r="E324" s="28" t="n">
        <v>3</v>
      </c>
      <c r="F324" s="47" t="n">
        <v>4.5</v>
      </c>
      <c r="G324" s="28" t="n">
        <v>5</v>
      </c>
      <c r="H324" s="28" t="n">
        <v>12</v>
      </c>
      <c r="I324" s="47" t="n">
        <f aca="false">E324*F324*(1-G324/100)*(1+H324/100)</f>
        <v>14.364</v>
      </c>
      <c r="J324" s="28" t="s">
        <v>32</v>
      </c>
      <c r="K324" s="28" t="s">
        <v>88</v>
      </c>
      <c r="L324" s="46" t="s">
        <v>94</v>
      </c>
      <c r="M324" s="47" t="n">
        <f aca="false">F324*(1-G324/100)-2.8</f>
        <v>1.475</v>
      </c>
      <c r="N324" s="47" t="n">
        <f aca="false">M324*E324</f>
        <v>4.425</v>
      </c>
    </row>
    <row r="325" customFormat="false" ht="16.5" hidden="false" customHeight="true" outlineLevel="0" collapsed="false">
      <c r="A325" s="42" t="n">
        <v>45687</v>
      </c>
      <c r="B325" s="24" t="s">
        <v>423</v>
      </c>
      <c r="C325" s="43" t="s">
        <v>113</v>
      </c>
      <c r="D325" s="43" t="s">
        <v>96</v>
      </c>
      <c r="E325" s="24" t="n">
        <v>5</v>
      </c>
      <c r="F325" s="44" t="n">
        <v>6</v>
      </c>
      <c r="G325" s="24" t="n">
        <v>0</v>
      </c>
      <c r="H325" s="24" t="n">
        <v>12</v>
      </c>
      <c r="I325" s="44" t="n">
        <f aca="false">E325*F325*(1-G325/100)*(1+H325/100)</f>
        <v>33.6</v>
      </c>
      <c r="J325" s="24" t="s">
        <v>26</v>
      </c>
      <c r="K325" s="24" t="s">
        <v>97</v>
      </c>
      <c r="L325" s="43" t="s">
        <v>98</v>
      </c>
      <c r="M325" s="44" t="n">
        <f aca="false">F325*(1-G325/100)-2.8</f>
        <v>3.2</v>
      </c>
      <c r="N325" s="44" t="n">
        <f aca="false">M325*E325</f>
        <v>16</v>
      </c>
    </row>
    <row r="326" customFormat="false" ht="16.5" hidden="false" customHeight="true" outlineLevel="0" collapsed="false">
      <c r="A326" s="45" t="n">
        <v>45687</v>
      </c>
      <c r="B326" s="28" t="s">
        <v>424</v>
      </c>
      <c r="C326" s="46" t="s">
        <v>93</v>
      </c>
      <c r="D326" s="46" t="s">
        <v>81</v>
      </c>
      <c r="E326" s="28" t="n">
        <v>4</v>
      </c>
      <c r="F326" s="47" t="n">
        <v>3</v>
      </c>
      <c r="G326" s="28" t="n">
        <v>10</v>
      </c>
      <c r="H326" s="28" t="n">
        <v>12</v>
      </c>
      <c r="I326" s="47" t="n">
        <f aca="false">E326*F326*(1-G326/100)*(1+H326/100)</f>
        <v>12.096</v>
      </c>
      <c r="J326" s="28" t="s">
        <v>28</v>
      </c>
      <c r="K326" s="28" t="s">
        <v>82</v>
      </c>
      <c r="L326" s="46" t="s">
        <v>117</v>
      </c>
      <c r="M326" s="47" t="n">
        <f aca="false">F326*(1-G326/100)-1.5</f>
        <v>1.2</v>
      </c>
      <c r="N326" s="47" t="n">
        <f aca="false">M326*E326</f>
        <v>4.8</v>
      </c>
    </row>
    <row r="327" customFormat="false" ht="16.5" hidden="false" customHeight="true" outlineLevel="0" collapsed="false">
      <c r="A327" s="42" t="n">
        <v>45687</v>
      </c>
      <c r="B327" s="24" t="s">
        <v>425</v>
      </c>
      <c r="C327" s="43" t="s">
        <v>109</v>
      </c>
      <c r="D327" s="43" t="s">
        <v>110</v>
      </c>
      <c r="E327" s="24" t="n">
        <v>2</v>
      </c>
      <c r="F327" s="44" t="n">
        <v>3.5</v>
      </c>
      <c r="G327" s="24" t="n">
        <v>0</v>
      </c>
      <c r="H327" s="24" t="n">
        <v>12</v>
      </c>
      <c r="I327" s="44" t="n">
        <f aca="false">E327*F327*(1-G327/100)*(1+H327/100)</f>
        <v>7.84</v>
      </c>
      <c r="J327" s="24" t="s">
        <v>32</v>
      </c>
      <c r="K327" s="24" t="s">
        <v>88</v>
      </c>
      <c r="L327" s="43" t="s">
        <v>86</v>
      </c>
      <c r="M327" s="44" t="n">
        <f aca="false">F327*(1-G327/100)-1.4</f>
        <v>2.1</v>
      </c>
      <c r="N327" s="44" t="n">
        <f aca="false">M327*E327</f>
        <v>4.2</v>
      </c>
    </row>
    <row r="328" customFormat="false" ht="16.5" hidden="false" customHeight="true" outlineLevel="0" collapsed="false">
      <c r="A328" s="45" t="n">
        <v>45687</v>
      </c>
      <c r="B328" s="28" t="s">
        <v>426</v>
      </c>
      <c r="C328" s="46" t="s">
        <v>27</v>
      </c>
      <c r="D328" s="46" t="s">
        <v>81</v>
      </c>
      <c r="E328" s="28" t="n">
        <v>5</v>
      </c>
      <c r="F328" s="47" t="n">
        <v>4.5</v>
      </c>
      <c r="G328" s="28" t="n">
        <v>0</v>
      </c>
      <c r="H328" s="28" t="n">
        <v>12</v>
      </c>
      <c r="I328" s="47" t="n">
        <f aca="false">E328*F328*(1-G328/100)*(1+H328/100)</f>
        <v>25.2</v>
      </c>
      <c r="J328" s="28" t="s">
        <v>28</v>
      </c>
      <c r="K328" s="28" t="s">
        <v>82</v>
      </c>
      <c r="L328" s="46" t="s">
        <v>83</v>
      </c>
      <c r="M328" s="47" t="n">
        <f aca="false">F328*(1-G328/100)-2.8</f>
        <v>1.7</v>
      </c>
      <c r="N328" s="47" t="n">
        <f aca="false">M328*E328</f>
        <v>8.5</v>
      </c>
    </row>
    <row r="329" customFormat="false" ht="16.5" hidden="false" customHeight="true" outlineLevel="0" collapsed="false">
      <c r="A329" s="42" t="n">
        <v>45688</v>
      </c>
      <c r="B329" s="24" t="s">
        <v>427</v>
      </c>
      <c r="C329" s="43" t="s">
        <v>33</v>
      </c>
      <c r="D329" s="43" t="s">
        <v>104</v>
      </c>
      <c r="E329" s="24" t="n">
        <v>3</v>
      </c>
      <c r="F329" s="44" t="n">
        <v>5</v>
      </c>
      <c r="G329" s="24" t="n">
        <v>10</v>
      </c>
      <c r="H329" s="24" t="n">
        <v>12</v>
      </c>
      <c r="I329" s="44" t="n">
        <f aca="false">E329*F329*(1-G329/100)*(1+H329/100)</f>
        <v>15.12</v>
      </c>
      <c r="J329" s="24" t="s">
        <v>28</v>
      </c>
      <c r="K329" s="24" t="s">
        <v>101</v>
      </c>
      <c r="L329" s="43" t="s">
        <v>122</v>
      </c>
      <c r="M329" s="44" t="n">
        <f aca="false">F329*(1-G329/100)-2.5</f>
        <v>2</v>
      </c>
      <c r="N329" s="44" t="n">
        <f aca="false">M329*E329</f>
        <v>6</v>
      </c>
    </row>
    <row r="330" customFormat="false" ht="16.5" hidden="false" customHeight="true" outlineLevel="0" collapsed="false">
      <c r="A330" s="45" t="n">
        <v>45688</v>
      </c>
      <c r="B330" s="28" t="s">
        <v>428</v>
      </c>
      <c r="C330" s="46" t="s">
        <v>33</v>
      </c>
      <c r="D330" s="46" t="s">
        <v>104</v>
      </c>
      <c r="E330" s="28" t="n">
        <v>5</v>
      </c>
      <c r="F330" s="47" t="n">
        <v>5</v>
      </c>
      <c r="G330" s="28" t="n">
        <v>0</v>
      </c>
      <c r="H330" s="28" t="n">
        <v>12</v>
      </c>
      <c r="I330" s="47" t="n">
        <f aca="false">E330*F330*(1-G330/100)*(1+H330/100)</f>
        <v>28</v>
      </c>
      <c r="J330" s="28" t="s">
        <v>26</v>
      </c>
      <c r="K330" s="28" t="s">
        <v>97</v>
      </c>
      <c r="L330" s="46" t="s">
        <v>89</v>
      </c>
      <c r="M330" s="47" t="n">
        <f aca="false">F330*(1-G330/100)-2.5</f>
        <v>2.5</v>
      </c>
      <c r="N330" s="47" t="n">
        <f aca="false">M330*E330</f>
        <v>12.5</v>
      </c>
    </row>
    <row r="331" customFormat="false" ht="16.5" hidden="false" customHeight="true" outlineLevel="0" collapsed="false">
      <c r="A331" s="42" t="n">
        <v>45688</v>
      </c>
      <c r="B331" s="24" t="s">
        <v>429</v>
      </c>
      <c r="C331" s="43" t="s">
        <v>124</v>
      </c>
      <c r="D331" s="43" t="s">
        <v>96</v>
      </c>
      <c r="E331" s="24" t="n">
        <v>1</v>
      </c>
      <c r="F331" s="44" t="n">
        <v>4</v>
      </c>
      <c r="G331" s="24" t="n">
        <v>10</v>
      </c>
      <c r="H331" s="24" t="n">
        <v>12</v>
      </c>
      <c r="I331" s="44" t="n">
        <f aca="false">E331*F331*(1-G331/100)*(1+H331/100)</f>
        <v>4.032</v>
      </c>
      <c r="J331" s="24" t="s">
        <v>26</v>
      </c>
      <c r="K331" s="24" t="s">
        <v>88</v>
      </c>
      <c r="L331" s="43" t="s">
        <v>89</v>
      </c>
      <c r="M331" s="44" t="n">
        <f aca="false">F331*(1-G331/100)-1.8</f>
        <v>1.8</v>
      </c>
      <c r="N331" s="44" t="n">
        <f aca="false">M331*E331</f>
        <v>1.8</v>
      </c>
    </row>
    <row r="332" customFormat="false" ht="16.5" hidden="false" customHeight="true" outlineLevel="0" collapsed="false">
      <c r="A332" s="45" t="n">
        <v>45688</v>
      </c>
      <c r="B332" s="28" t="s">
        <v>430</v>
      </c>
      <c r="C332" s="46" t="s">
        <v>29</v>
      </c>
      <c r="D332" s="46" t="s">
        <v>104</v>
      </c>
      <c r="E332" s="28" t="n">
        <v>2</v>
      </c>
      <c r="F332" s="47" t="n">
        <v>2.5</v>
      </c>
      <c r="G332" s="28" t="n">
        <v>10</v>
      </c>
      <c r="H332" s="28" t="n">
        <v>12</v>
      </c>
      <c r="I332" s="47" t="n">
        <f aca="false">E332*F332*(1-G332/100)*(1+H332/100)</f>
        <v>5.04</v>
      </c>
      <c r="J332" s="28" t="s">
        <v>34</v>
      </c>
      <c r="K332" s="28" t="s">
        <v>97</v>
      </c>
      <c r="L332" s="46" t="s">
        <v>89</v>
      </c>
      <c r="M332" s="47" t="n">
        <f aca="false">F332*(1-G332/100)-1.1</f>
        <v>1.15</v>
      </c>
      <c r="N332" s="47" t="n">
        <f aca="false">M332*E332</f>
        <v>2.3</v>
      </c>
    </row>
    <row r="333" customFormat="false" ht="16.5" hidden="false" customHeight="true" outlineLevel="0" collapsed="false">
      <c r="A333" s="42" t="n">
        <v>45688</v>
      </c>
      <c r="B333" s="24" t="s">
        <v>431</v>
      </c>
      <c r="C333" s="43" t="s">
        <v>25</v>
      </c>
      <c r="D333" s="43" t="s">
        <v>81</v>
      </c>
      <c r="E333" s="24" t="n">
        <v>1</v>
      </c>
      <c r="F333" s="44" t="n">
        <v>3.5</v>
      </c>
      <c r="G333" s="24" t="n">
        <v>0</v>
      </c>
      <c r="H333" s="24" t="n">
        <v>12</v>
      </c>
      <c r="I333" s="44" t="n">
        <f aca="false">E333*F333*(1-G333/100)*(1+H333/100)</f>
        <v>3.92</v>
      </c>
      <c r="J333" s="24" t="s">
        <v>24</v>
      </c>
      <c r="K333" s="24" t="s">
        <v>88</v>
      </c>
      <c r="L333" s="43" t="s">
        <v>122</v>
      </c>
      <c r="M333" s="44" t="n">
        <f aca="false">F333*(1-G333/100)-2.2</f>
        <v>1.3</v>
      </c>
      <c r="N333" s="44" t="n">
        <f aca="false">M333*E333</f>
        <v>1.3</v>
      </c>
    </row>
    <row r="334" customFormat="false" ht="16.5" hidden="false" customHeight="true" outlineLevel="0" collapsed="false">
      <c r="A334" s="45" t="n">
        <v>45688</v>
      </c>
      <c r="B334" s="28" t="s">
        <v>432</v>
      </c>
      <c r="C334" s="46" t="s">
        <v>33</v>
      </c>
      <c r="D334" s="46" t="s">
        <v>104</v>
      </c>
      <c r="E334" s="28" t="n">
        <v>5</v>
      </c>
      <c r="F334" s="47" t="n">
        <v>5</v>
      </c>
      <c r="G334" s="28" t="n">
        <v>5</v>
      </c>
      <c r="H334" s="28" t="n">
        <v>12</v>
      </c>
      <c r="I334" s="47" t="n">
        <f aca="false">E334*F334*(1-G334/100)*(1+H334/100)</f>
        <v>26.6</v>
      </c>
      <c r="J334" s="28" t="s">
        <v>34</v>
      </c>
      <c r="K334" s="28" t="s">
        <v>101</v>
      </c>
      <c r="L334" s="46" t="s">
        <v>111</v>
      </c>
      <c r="M334" s="47" t="n">
        <f aca="false">F334*(1-G334/100)-2.5</f>
        <v>2.25</v>
      </c>
      <c r="N334" s="47" t="n">
        <f aca="false">M334*E334</f>
        <v>11.25</v>
      </c>
    </row>
    <row r="335" customFormat="false" ht="16.5" hidden="false" customHeight="true" outlineLevel="0" collapsed="false">
      <c r="A335" s="42" t="n">
        <v>45688</v>
      </c>
      <c r="B335" s="24" t="s">
        <v>433</v>
      </c>
      <c r="C335" s="43" t="s">
        <v>124</v>
      </c>
      <c r="D335" s="43" t="s">
        <v>96</v>
      </c>
      <c r="E335" s="24" t="n">
        <v>3</v>
      </c>
      <c r="F335" s="44" t="n">
        <v>4</v>
      </c>
      <c r="G335" s="24" t="n">
        <v>0</v>
      </c>
      <c r="H335" s="24" t="n">
        <v>12</v>
      </c>
      <c r="I335" s="44" t="n">
        <f aca="false">E335*F335*(1-G335/100)*(1+H335/100)</f>
        <v>13.44</v>
      </c>
      <c r="J335" s="24" t="s">
        <v>32</v>
      </c>
      <c r="K335" s="24" t="s">
        <v>82</v>
      </c>
      <c r="L335" s="43" t="s">
        <v>94</v>
      </c>
      <c r="M335" s="44" t="n">
        <f aca="false">F335*(1-G335/100)-1.8</f>
        <v>2.2</v>
      </c>
      <c r="N335" s="44" t="n">
        <f aca="false">M335*E335</f>
        <v>6.6</v>
      </c>
    </row>
    <row r="336" customFormat="false" ht="16.5" hidden="false" customHeight="true" outlineLevel="0" collapsed="false">
      <c r="A336" s="45" t="n">
        <v>45688</v>
      </c>
      <c r="B336" s="28" t="s">
        <v>434</v>
      </c>
      <c r="C336" s="46" t="s">
        <v>35</v>
      </c>
      <c r="D336" s="46" t="s">
        <v>81</v>
      </c>
      <c r="E336" s="28" t="n">
        <v>4</v>
      </c>
      <c r="F336" s="47" t="n">
        <v>1.5</v>
      </c>
      <c r="G336" s="28" t="n">
        <v>0</v>
      </c>
      <c r="H336" s="28" t="n">
        <v>12</v>
      </c>
      <c r="I336" s="47" t="n">
        <f aca="false">E336*F336*(1-G336/100)*(1+H336/100)</f>
        <v>6.72</v>
      </c>
      <c r="J336" s="28" t="s">
        <v>24</v>
      </c>
      <c r="K336" s="28" t="s">
        <v>82</v>
      </c>
      <c r="L336" s="46" t="s">
        <v>111</v>
      </c>
      <c r="M336" s="47" t="n">
        <f aca="false">F336*(1-G336/100)-0.6</f>
        <v>0.9</v>
      </c>
      <c r="N336" s="47" t="n">
        <f aca="false">M336*E336</f>
        <v>3.6</v>
      </c>
    </row>
    <row r="337" customFormat="false" ht="16.5" hidden="false" customHeight="true" outlineLevel="0" collapsed="false">
      <c r="A337" s="42" t="n">
        <v>45688</v>
      </c>
      <c r="B337" s="24" t="s">
        <v>435</v>
      </c>
      <c r="C337" s="43" t="s">
        <v>113</v>
      </c>
      <c r="D337" s="43" t="s">
        <v>96</v>
      </c>
      <c r="E337" s="24" t="n">
        <v>4</v>
      </c>
      <c r="F337" s="44" t="n">
        <v>6</v>
      </c>
      <c r="G337" s="24" t="n">
        <v>5</v>
      </c>
      <c r="H337" s="24" t="n">
        <v>12</v>
      </c>
      <c r="I337" s="44" t="n">
        <f aca="false">E337*F337*(1-G337/100)*(1+H337/100)</f>
        <v>25.536</v>
      </c>
      <c r="J337" s="24" t="s">
        <v>26</v>
      </c>
      <c r="K337" s="24" t="s">
        <v>97</v>
      </c>
      <c r="L337" s="43" t="s">
        <v>89</v>
      </c>
      <c r="M337" s="44" t="n">
        <f aca="false">F337*(1-G337/100)-2.8</f>
        <v>2.9</v>
      </c>
      <c r="N337" s="44" t="n">
        <f aca="false">M337*E337</f>
        <v>11.6</v>
      </c>
    </row>
    <row r="338" customFormat="false" ht="16.5" hidden="false" customHeight="true" outlineLevel="0" collapsed="false">
      <c r="A338" s="45" t="n">
        <v>45688</v>
      </c>
      <c r="B338" s="28" t="s">
        <v>436</v>
      </c>
      <c r="C338" s="46" t="s">
        <v>29</v>
      </c>
      <c r="D338" s="46" t="s">
        <v>104</v>
      </c>
      <c r="E338" s="28" t="n">
        <v>3</v>
      </c>
      <c r="F338" s="47" t="n">
        <v>2.5</v>
      </c>
      <c r="G338" s="28" t="n">
        <v>0</v>
      </c>
      <c r="H338" s="28" t="n">
        <v>12</v>
      </c>
      <c r="I338" s="47" t="n">
        <f aca="false">E338*F338*(1-G338/100)*(1+H338/100)</f>
        <v>8.4</v>
      </c>
      <c r="J338" s="28" t="s">
        <v>28</v>
      </c>
      <c r="K338" s="28" t="s">
        <v>85</v>
      </c>
      <c r="L338" s="46" t="s">
        <v>83</v>
      </c>
      <c r="M338" s="47" t="n">
        <f aca="false">F338*(1-G338/100)-1.1</f>
        <v>1.4</v>
      </c>
      <c r="N338" s="47" t="n">
        <f aca="false">M338*E338</f>
        <v>4.2</v>
      </c>
    </row>
    <row r="339" customFormat="false" ht="16.5" hidden="false" customHeight="true" outlineLevel="0" collapsed="false">
      <c r="A339" s="42" t="n">
        <v>45689</v>
      </c>
      <c r="B339" s="24" t="s">
        <v>437</v>
      </c>
      <c r="C339" s="43" t="s">
        <v>124</v>
      </c>
      <c r="D339" s="43" t="s">
        <v>96</v>
      </c>
      <c r="E339" s="24" t="n">
        <v>5</v>
      </c>
      <c r="F339" s="44" t="n">
        <v>4</v>
      </c>
      <c r="G339" s="24" t="n">
        <v>0</v>
      </c>
      <c r="H339" s="24" t="n">
        <v>12</v>
      </c>
      <c r="I339" s="44" t="n">
        <f aca="false">E339*F339*(1-G339/100)*(1+H339/100)</f>
        <v>22.4</v>
      </c>
      <c r="J339" s="24" t="s">
        <v>28</v>
      </c>
      <c r="K339" s="24" t="s">
        <v>82</v>
      </c>
      <c r="L339" s="43" t="s">
        <v>111</v>
      </c>
      <c r="M339" s="44" t="n">
        <f aca="false">F339*(1-G339/100)-1.8</f>
        <v>2.2</v>
      </c>
      <c r="N339" s="44" t="n">
        <f aca="false">M339*E339</f>
        <v>11</v>
      </c>
    </row>
    <row r="340" customFormat="false" ht="16.5" hidden="false" customHeight="true" outlineLevel="0" collapsed="false">
      <c r="A340" s="45" t="n">
        <v>45689</v>
      </c>
      <c r="B340" s="28" t="s">
        <v>438</v>
      </c>
      <c r="C340" s="46" t="s">
        <v>27</v>
      </c>
      <c r="D340" s="46" t="s">
        <v>81</v>
      </c>
      <c r="E340" s="28" t="n">
        <v>3</v>
      </c>
      <c r="F340" s="47" t="n">
        <v>4.5</v>
      </c>
      <c r="G340" s="28" t="n">
        <v>5</v>
      </c>
      <c r="H340" s="28" t="n">
        <v>12</v>
      </c>
      <c r="I340" s="47" t="n">
        <f aca="false">E340*F340*(1-G340/100)*(1+H340/100)</f>
        <v>14.364</v>
      </c>
      <c r="J340" s="28" t="s">
        <v>26</v>
      </c>
      <c r="K340" s="28" t="s">
        <v>82</v>
      </c>
      <c r="L340" s="46" t="s">
        <v>98</v>
      </c>
      <c r="M340" s="47" t="n">
        <f aca="false">F340*(1-G340/100)-2.8</f>
        <v>1.475</v>
      </c>
      <c r="N340" s="47" t="n">
        <f aca="false">M340*E340</f>
        <v>4.425</v>
      </c>
    </row>
    <row r="341" customFormat="false" ht="16.5" hidden="false" customHeight="true" outlineLevel="0" collapsed="false">
      <c r="A341" s="42" t="n">
        <v>45689</v>
      </c>
      <c r="B341" s="24" t="s">
        <v>439</v>
      </c>
      <c r="C341" s="43" t="s">
        <v>25</v>
      </c>
      <c r="D341" s="43" t="s">
        <v>81</v>
      </c>
      <c r="E341" s="24" t="n">
        <v>3</v>
      </c>
      <c r="F341" s="44" t="n">
        <v>3.5</v>
      </c>
      <c r="G341" s="24" t="n">
        <v>5</v>
      </c>
      <c r="H341" s="24" t="n">
        <v>12</v>
      </c>
      <c r="I341" s="44" t="n">
        <f aca="false">E341*F341*(1-G341/100)*(1+H341/100)</f>
        <v>11.172</v>
      </c>
      <c r="J341" s="24" t="s">
        <v>34</v>
      </c>
      <c r="K341" s="24" t="s">
        <v>85</v>
      </c>
      <c r="L341" s="43" t="s">
        <v>91</v>
      </c>
      <c r="M341" s="44" t="n">
        <f aca="false">F341*(1-G341/100)-2.2</f>
        <v>1.125</v>
      </c>
      <c r="N341" s="44" t="n">
        <f aca="false">M341*E341</f>
        <v>3.375</v>
      </c>
    </row>
    <row r="342" customFormat="false" ht="16.5" hidden="false" customHeight="true" outlineLevel="0" collapsed="false">
      <c r="A342" s="45" t="n">
        <v>45689</v>
      </c>
      <c r="B342" s="28" t="s">
        <v>440</v>
      </c>
      <c r="C342" s="46" t="s">
        <v>29</v>
      </c>
      <c r="D342" s="46" t="s">
        <v>104</v>
      </c>
      <c r="E342" s="28" t="n">
        <v>3</v>
      </c>
      <c r="F342" s="47" t="n">
        <v>2.5</v>
      </c>
      <c r="G342" s="28" t="n">
        <v>10</v>
      </c>
      <c r="H342" s="28" t="n">
        <v>12</v>
      </c>
      <c r="I342" s="47" t="n">
        <f aca="false">E342*F342*(1-G342/100)*(1+H342/100)</f>
        <v>7.56</v>
      </c>
      <c r="J342" s="28" t="s">
        <v>28</v>
      </c>
      <c r="K342" s="28" t="s">
        <v>82</v>
      </c>
      <c r="L342" s="46" t="s">
        <v>83</v>
      </c>
      <c r="M342" s="47" t="n">
        <f aca="false">F342*(1-G342/100)-1.1</f>
        <v>1.15</v>
      </c>
      <c r="N342" s="47" t="n">
        <f aca="false">M342*E342</f>
        <v>3.45</v>
      </c>
    </row>
    <row r="343" customFormat="false" ht="16.5" hidden="false" customHeight="true" outlineLevel="0" collapsed="false">
      <c r="A343" s="42" t="n">
        <v>45689</v>
      </c>
      <c r="B343" s="24" t="s">
        <v>441</v>
      </c>
      <c r="C343" s="43" t="s">
        <v>93</v>
      </c>
      <c r="D343" s="43" t="s">
        <v>81</v>
      </c>
      <c r="E343" s="24" t="n">
        <v>5</v>
      </c>
      <c r="F343" s="44" t="n">
        <v>3</v>
      </c>
      <c r="G343" s="24" t="n">
        <v>5</v>
      </c>
      <c r="H343" s="24" t="n">
        <v>12</v>
      </c>
      <c r="I343" s="44" t="n">
        <f aca="false">E343*F343*(1-G343/100)*(1+H343/100)</f>
        <v>15.96</v>
      </c>
      <c r="J343" s="24" t="s">
        <v>32</v>
      </c>
      <c r="K343" s="24" t="s">
        <v>97</v>
      </c>
      <c r="L343" s="43" t="s">
        <v>111</v>
      </c>
      <c r="M343" s="44" t="n">
        <f aca="false">F343*(1-G343/100)-1.5</f>
        <v>1.35</v>
      </c>
      <c r="N343" s="44" t="n">
        <f aca="false">M343*E343</f>
        <v>6.75</v>
      </c>
    </row>
    <row r="344" customFormat="false" ht="16.5" hidden="false" customHeight="true" outlineLevel="0" collapsed="false">
      <c r="A344" s="45" t="n">
        <v>45689</v>
      </c>
      <c r="B344" s="28" t="s">
        <v>442</v>
      </c>
      <c r="C344" s="46" t="s">
        <v>25</v>
      </c>
      <c r="D344" s="46" t="s">
        <v>81</v>
      </c>
      <c r="E344" s="28" t="n">
        <v>1</v>
      </c>
      <c r="F344" s="47" t="n">
        <v>3.5</v>
      </c>
      <c r="G344" s="28" t="n">
        <v>5</v>
      </c>
      <c r="H344" s="28" t="n">
        <v>12</v>
      </c>
      <c r="I344" s="47" t="n">
        <f aca="false">E344*F344*(1-G344/100)*(1+H344/100)</f>
        <v>3.724</v>
      </c>
      <c r="J344" s="28" t="s">
        <v>34</v>
      </c>
      <c r="K344" s="28" t="s">
        <v>85</v>
      </c>
      <c r="L344" s="46" t="s">
        <v>91</v>
      </c>
      <c r="M344" s="47" t="n">
        <f aca="false">F344*(1-G344/100)-2.2</f>
        <v>1.125</v>
      </c>
      <c r="N344" s="47" t="n">
        <f aca="false">M344*E344</f>
        <v>1.125</v>
      </c>
    </row>
    <row r="345" customFormat="false" ht="16.5" hidden="false" customHeight="true" outlineLevel="0" collapsed="false">
      <c r="A345" s="42" t="n">
        <v>45689</v>
      </c>
      <c r="B345" s="24" t="s">
        <v>443</v>
      </c>
      <c r="C345" s="43" t="s">
        <v>33</v>
      </c>
      <c r="D345" s="43" t="s">
        <v>104</v>
      </c>
      <c r="E345" s="24" t="n">
        <v>5</v>
      </c>
      <c r="F345" s="44" t="n">
        <v>5</v>
      </c>
      <c r="G345" s="24" t="n">
        <v>0</v>
      </c>
      <c r="H345" s="24" t="n">
        <v>12</v>
      </c>
      <c r="I345" s="44" t="n">
        <f aca="false">E345*F345*(1-G345/100)*(1+H345/100)</f>
        <v>28</v>
      </c>
      <c r="J345" s="24" t="s">
        <v>24</v>
      </c>
      <c r="K345" s="24" t="s">
        <v>101</v>
      </c>
      <c r="L345" s="43" t="s">
        <v>122</v>
      </c>
      <c r="M345" s="44" t="n">
        <f aca="false">F345*(1-G345/100)-2.5</f>
        <v>2.5</v>
      </c>
      <c r="N345" s="44" t="n">
        <f aca="false">M345*E345</f>
        <v>12.5</v>
      </c>
    </row>
    <row r="346" customFormat="false" ht="16.5" hidden="false" customHeight="true" outlineLevel="0" collapsed="false">
      <c r="A346" s="45" t="n">
        <v>45689</v>
      </c>
      <c r="B346" s="28" t="s">
        <v>444</v>
      </c>
      <c r="C346" s="46" t="s">
        <v>93</v>
      </c>
      <c r="D346" s="46" t="s">
        <v>81</v>
      </c>
      <c r="E346" s="28" t="n">
        <v>5</v>
      </c>
      <c r="F346" s="47" t="n">
        <v>3</v>
      </c>
      <c r="G346" s="28" t="n">
        <v>5</v>
      </c>
      <c r="H346" s="28" t="n">
        <v>12</v>
      </c>
      <c r="I346" s="47" t="n">
        <f aca="false">E346*F346*(1-G346/100)*(1+H346/100)</f>
        <v>15.96</v>
      </c>
      <c r="J346" s="28" t="s">
        <v>28</v>
      </c>
      <c r="K346" s="28" t="s">
        <v>88</v>
      </c>
      <c r="L346" s="46" t="s">
        <v>86</v>
      </c>
      <c r="M346" s="47" t="n">
        <f aca="false">F346*(1-G346/100)-1.5</f>
        <v>1.35</v>
      </c>
      <c r="N346" s="47" t="n">
        <f aca="false">M346*E346</f>
        <v>6.75</v>
      </c>
    </row>
    <row r="347" customFormat="false" ht="16.5" hidden="false" customHeight="true" outlineLevel="0" collapsed="false">
      <c r="A347" s="42" t="n">
        <v>45689</v>
      </c>
      <c r="B347" s="24" t="s">
        <v>445</v>
      </c>
      <c r="C347" s="43" t="s">
        <v>27</v>
      </c>
      <c r="D347" s="43" t="s">
        <v>81</v>
      </c>
      <c r="E347" s="24" t="n">
        <v>4</v>
      </c>
      <c r="F347" s="44" t="n">
        <v>4.5</v>
      </c>
      <c r="G347" s="24" t="n">
        <v>0</v>
      </c>
      <c r="H347" s="24" t="n">
        <v>12</v>
      </c>
      <c r="I347" s="44" t="n">
        <f aca="false">E347*F347*(1-G347/100)*(1+H347/100)</f>
        <v>20.16</v>
      </c>
      <c r="J347" s="24" t="s">
        <v>28</v>
      </c>
      <c r="K347" s="24" t="s">
        <v>97</v>
      </c>
      <c r="L347" s="43" t="s">
        <v>94</v>
      </c>
      <c r="M347" s="44" t="n">
        <f aca="false">F347*(1-G347/100)-2.8</f>
        <v>1.7</v>
      </c>
      <c r="N347" s="44" t="n">
        <f aca="false">M347*E347</f>
        <v>6.8</v>
      </c>
    </row>
    <row r="348" customFormat="false" ht="16.5" hidden="false" customHeight="true" outlineLevel="0" collapsed="false">
      <c r="A348" s="45" t="n">
        <v>45689</v>
      </c>
      <c r="B348" s="28" t="s">
        <v>446</v>
      </c>
      <c r="C348" s="46" t="s">
        <v>36</v>
      </c>
      <c r="D348" s="46" t="s">
        <v>96</v>
      </c>
      <c r="E348" s="28" t="n">
        <v>1</v>
      </c>
      <c r="F348" s="47" t="n">
        <v>8.5</v>
      </c>
      <c r="G348" s="28" t="n">
        <v>5</v>
      </c>
      <c r="H348" s="28" t="n">
        <v>12</v>
      </c>
      <c r="I348" s="47" t="n">
        <f aca="false">E348*F348*(1-G348/100)*(1+H348/100)</f>
        <v>9.044</v>
      </c>
      <c r="J348" s="28" t="s">
        <v>24</v>
      </c>
      <c r="K348" s="28" t="s">
        <v>88</v>
      </c>
      <c r="L348" s="46" t="s">
        <v>117</v>
      </c>
      <c r="M348" s="47" t="n">
        <f aca="false">F348*(1-G348/100)-4.2</f>
        <v>3.875</v>
      </c>
      <c r="N348" s="47" t="n">
        <f aca="false">M348*E348</f>
        <v>3.875</v>
      </c>
    </row>
    <row r="349" customFormat="false" ht="16.5" hidden="false" customHeight="true" outlineLevel="0" collapsed="false">
      <c r="A349" s="42" t="n">
        <v>45690</v>
      </c>
      <c r="B349" s="24" t="s">
        <v>447</v>
      </c>
      <c r="C349" s="43" t="s">
        <v>36</v>
      </c>
      <c r="D349" s="43" t="s">
        <v>96</v>
      </c>
      <c r="E349" s="24" t="n">
        <v>5</v>
      </c>
      <c r="F349" s="44" t="n">
        <v>8.5</v>
      </c>
      <c r="G349" s="24" t="n">
        <v>0</v>
      </c>
      <c r="H349" s="24" t="n">
        <v>12</v>
      </c>
      <c r="I349" s="44" t="n">
        <f aca="false">E349*F349*(1-G349/100)*(1+H349/100)</f>
        <v>47.6</v>
      </c>
      <c r="J349" s="24" t="s">
        <v>24</v>
      </c>
      <c r="K349" s="24" t="s">
        <v>85</v>
      </c>
      <c r="L349" s="43" t="s">
        <v>117</v>
      </c>
      <c r="M349" s="44" t="n">
        <f aca="false">F349*(1-G349/100)-4.2</f>
        <v>4.3</v>
      </c>
      <c r="N349" s="44" t="n">
        <f aca="false">M349*E349</f>
        <v>21.5</v>
      </c>
    </row>
    <row r="350" customFormat="false" ht="16.5" hidden="false" customHeight="true" outlineLevel="0" collapsed="false">
      <c r="A350" s="45" t="n">
        <v>45690</v>
      </c>
      <c r="B350" s="28" t="s">
        <v>448</v>
      </c>
      <c r="C350" s="46" t="s">
        <v>93</v>
      </c>
      <c r="D350" s="46" t="s">
        <v>81</v>
      </c>
      <c r="E350" s="28" t="n">
        <v>5</v>
      </c>
      <c r="F350" s="47" t="n">
        <v>3</v>
      </c>
      <c r="G350" s="28" t="n">
        <v>0</v>
      </c>
      <c r="H350" s="28" t="n">
        <v>12</v>
      </c>
      <c r="I350" s="47" t="n">
        <f aca="false">E350*F350*(1-G350/100)*(1+H350/100)</f>
        <v>16.8</v>
      </c>
      <c r="J350" s="28" t="s">
        <v>34</v>
      </c>
      <c r="K350" s="28" t="s">
        <v>88</v>
      </c>
      <c r="L350" s="46" t="s">
        <v>98</v>
      </c>
      <c r="M350" s="47" t="n">
        <f aca="false">F350*(1-G350/100)-1.5</f>
        <v>1.5</v>
      </c>
      <c r="N350" s="47" t="n">
        <f aca="false">M350*E350</f>
        <v>7.5</v>
      </c>
    </row>
    <row r="351" customFormat="false" ht="16.5" hidden="false" customHeight="true" outlineLevel="0" collapsed="false">
      <c r="A351" s="42" t="n">
        <v>45690</v>
      </c>
      <c r="B351" s="24" t="s">
        <v>449</v>
      </c>
      <c r="C351" s="43" t="s">
        <v>29</v>
      </c>
      <c r="D351" s="43" t="s">
        <v>104</v>
      </c>
      <c r="E351" s="24" t="n">
        <v>1</v>
      </c>
      <c r="F351" s="44" t="n">
        <v>2.5</v>
      </c>
      <c r="G351" s="24" t="n">
        <v>5</v>
      </c>
      <c r="H351" s="24" t="n">
        <v>12</v>
      </c>
      <c r="I351" s="44" t="n">
        <f aca="false">E351*F351*(1-G351/100)*(1+H351/100)</f>
        <v>2.66</v>
      </c>
      <c r="J351" s="24" t="s">
        <v>28</v>
      </c>
      <c r="K351" s="24" t="s">
        <v>97</v>
      </c>
      <c r="L351" s="43" t="s">
        <v>117</v>
      </c>
      <c r="M351" s="44" t="n">
        <f aca="false">F351*(1-G351/100)-1.1</f>
        <v>1.275</v>
      </c>
      <c r="N351" s="44" t="n">
        <f aca="false">M351*E351</f>
        <v>1.275</v>
      </c>
    </row>
    <row r="352" customFormat="false" ht="16.5" hidden="false" customHeight="true" outlineLevel="0" collapsed="false">
      <c r="A352" s="45" t="n">
        <v>45690</v>
      </c>
      <c r="B352" s="28" t="s">
        <v>450</v>
      </c>
      <c r="C352" s="46" t="s">
        <v>36</v>
      </c>
      <c r="D352" s="46" t="s">
        <v>96</v>
      </c>
      <c r="E352" s="28" t="n">
        <v>2</v>
      </c>
      <c r="F352" s="47" t="n">
        <v>8.5</v>
      </c>
      <c r="G352" s="28" t="n">
        <v>0</v>
      </c>
      <c r="H352" s="28" t="n">
        <v>12</v>
      </c>
      <c r="I352" s="47" t="n">
        <f aca="false">E352*F352*(1-G352/100)*(1+H352/100)</f>
        <v>19.04</v>
      </c>
      <c r="J352" s="28" t="s">
        <v>34</v>
      </c>
      <c r="K352" s="28" t="s">
        <v>88</v>
      </c>
      <c r="L352" s="46" t="s">
        <v>94</v>
      </c>
      <c r="M352" s="47" t="n">
        <f aca="false">F352*(1-G352/100)-4.2</f>
        <v>4.3</v>
      </c>
      <c r="N352" s="47" t="n">
        <f aca="false">M352*E352</f>
        <v>8.6</v>
      </c>
    </row>
    <row r="353" customFormat="false" ht="16.5" hidden="false" customHeight="true" outlineLevel="0" collapsed="false">
      <c r="A353" s="42" t="n">
        <v>45690</v>
      </c>
      <c r="B353" s="24" t="s">
        <v>451</v>
      </c>
      <c r="C353" s="43" t="s">
        <v>124</v>
      </c>
      <c r="D353" s="43" t="s">
        <v>96</v>
      </c>
      <c r="E353" s="24" t="n">
        <v>1</v>
      </c>
      <c r="F353" s="44" t="n">
        <v>4</v>
      </c>
      <c r="G353" s="24" t="n">
        <v>0</v>
      </c>
      <c r="H353" s="24" t="n">
        <v>12</v>
      </c>
      <c r="I353" s="44" t="n">
        <f aca="false">E353*F353*(1-G353/100)*(1+H353/100)</f>
        <v>4.48</v>
      </c>
      <c r="J353" s="24" t="s">
        <v>24</v>
      </c>
      <c r="K353" s="24" t="s">
        <v>82</v>
      </c>
      <c r="L353" s="43" t="s">
        <v>106</v>
      </c>
      <c r="M353" s="44" t="n">
        <f aca="false">F353*(1-G353/100)-1.8</f>
        <v>2.2</v>
      </c>
      <c r="N353" s="44" t="n">
        <f aca="false">M353*E353</f>
        <v>2.2</v>
      </c>
    </row>
    <row r="354" customFormat="false" ht="16.5" hidden="false" customHeight="true" outlineLevel="0" collapsed="false">
      <c r="A354" s="45" t="n">
        <v>45690</v>
      </c>
      <c r="B354" s="28" t="s">
        <v>452</v>
      </c>
      <c r="C354" s="46" t="s">
        <v>93</v>
      </c>
      <c r="D354" s="46" t="s">
        <v>81</v>
      </c>
      <c r="E354" s="28" t="n">
        <v>5</v>
      </c>
      <c r="F354" s="47" t="n">
        <v>3</v>
      </c>
      <c r="G354" s="28" t="n">
        <v>5</v>
      </c>
      <c r="H354" s="28" t="n">
        <v>12</v>
      </c>
      <c r="I354" s="47" t="n">
        <f aca="false">E354*F354*(1-G354/100)*(1+H354/100)</f>
        <v>15.96</v>
      </c>
      <c r="J354" s="28" t="s">
        <v>26</v>
      </c>
      <c r="K354" s="28" t="s">
        <v>88</v>
      </c>
      <c r="L354" s="46" t="s">
        <v>117</v>
      </c>
      <c r="M354" s="47" t="n">
        <f aca="false">F354*(1-G354/100)-1.5</f>
        <v>1.35</v>
      </c>
      <c r="N354" s="47" t="n">
        <f aca="false">M354*E354</f>
        <v>6.75</v>
      </c>
    </row>
    <row r="355" customFormat="false" ht="16.5" hidden="false" customHeight="true" outlineLevel="0" collapsed="false">
      <c r="A355" s="42" t="n">
        <v>45690</v>
      </c>
      <c r="B355" s="24" t="s">
        <v>453</v>
      </c>
      <c r="C355" s="43" t="s">
        <v>29</v>
      </c>
      <c r="D355" s="43" t="s">
        <v>104</v>
      </c>
      <c r="E355" s="24" t="n">
        <v>3</v>
      </c>
      <c r="F355" s="44" t="n">
        <v>2.5</v>
      </c>
      <c r="G355" s="24" t="n">
        <v>10</v>
      </c>
      <c r="H355" s="24" t="n">
        <v>12</v>
      </c>
      <c r="I355" s="44" t="n">
        <f aca="false">E355*F355*(1-G355/100)*(1+H355/100)</f>
        <v>7.56</v>
      </c>
      <c r="J355" s="24" t="s">
        <v>28</v>
      </c>
      <c r="K355" s="24" t="s">
        <v>82</v>
      </c>
      <c r="L355" s="43" t="s">
        <v>94</v>
      </c>
      <c r="M355" s="44" t="n">
        <f aca="false">F355*(1-G355/100)-1.1</f>
        <v>1.15</v>
      </c>
      <c r="N355" s="44" t="n">
        <f aca="false">M355*E355</f>
        <v>3.45</v>
      </c>
    </row>
    <row r="356" customFormat="false" ht="16.5" hidden="false" customHeight="true" outlineLevel="0" collapsed="false">
      <c r="A356" s="45" t="n">
        <v>45690</v>
      </c>
      <c r="B356" s="28" t="s">
        <v>454</v>
      </c>
      <c r="C356" s="46" t="s">
        <v>109</v>
      </c>
      <c r="D356" s="46" t="s">
        <v>110</v>
      </c>
      <c r="E356" s="28" t="n">
        <v>3</v>
      </c>
      <c r="F356" s="47" t="n">
        <v>3.5</v>
      </c>
      <c r="G356" s="28" t="n">
        <v>10</v>
      </c>
      <c r="H356" s="28" t="n">
        <v>12</v>
      </c>
      <c r="I356" s="47" t="n">
        <f aca="false">E356*F356*(1-G356/100)*(1+H356/100)</f>
        <v>10.584</v>
      </c>
      <c r="J356" s="28" t="s">
        <v>28</v>
      </c>
      <c r="K356" s="28" t="s">
        <v>88</v>
      </c>
      <c r="L356" s="46" t="s">
        <v>117</v>
      </c>
      <c r="M356" s="47" t="n">
        <f aca="false">F356*(1-G356/100)-1.4</f>
        <v>1.75</v>
      </c>
      <c r="N356" s="47" t="n">
        <f aca="false">M356*E356</f>
        <v>5.25</v>
      </c>
    </row>
    <row r="357" customFormat="false" ht="16.5" hidden="false" customHeight="true" outlineLevel="0" collapsed="false">
      <c r="A357" s="42" t="n">
        <v>45691</v>
      </c>
      <c r="B357" s="24" t="s">
        <v>455</v>
      </c>
      <c r="C357" s="43" t="s">
        <v>93</v>
      </c>
      <c r="D357" s="43" t="s">
        <v>81</v>
      </c>
      <c r="E357" s="24" t="n">
        <v>5</v>
      </c>
      <c r="F357" s="44" t="n">
        <v>3</v>
      </c>
      <c r="G357" s="24" t="n">
        <v>0</v>
      </c>
      <c r="H357" s="24" t="n">
        <v>12</v>
      </c>
      <c r="I357" s="44" t="n">
        <f aca="false">E357*F357*(1-G357/100)*(1+H357/100)</f>
        <v>16.8</v>
      </c>
      <c r="J357" s="24" t="s">
        <v>32</v>
      </c>
      <c r="K357" s="24" t="s">
        <v>101</v>
      </c>
      <c r="L357" s="43" t="s">
        <v>106</v>
      </c>
      <c r="M357" s="44" t="n">
        <f aca="false">F357*(1-G357/100)-1.5</f>
        <v>1.5</v>
      </c>
      <c r="N357" s="44" t="n">
        <f aca="false">M357*E357</f>
        <v>7.5</v>
      </c>
    </row>
    <row r="358" customFormat="false" ht="16.5" hidden="false" customHeight="true" outlineLevel="0" collapsed="false">
      <c r="A358" s="45" t="n">
        <v>45691</v>
      </c>
      <c r="B358" s="28" t="s">
        <v>456</v>
      </c>
      <c r="C358" s="46" t="s">
        <v>36</v>
      </c>
      <c r="D358" s="46" t="s">
        <v>96</v>
      </c>
      <c r="E358" s="28" t="n">
        <v>1</v>
      </c>
      <c r="F358" s="47" t="n">
        <v>8.5</v>
      </c>
      <c r="G358" s="28" t="n">
        <v>5</v>
      </c>
      <c r="H358" s="28" t="n">
        <v>12</v>
      </c>
      <c r="I358" s="47" t="n">
        <f aca="false">E358*F358*(1-G358/100)*(1+H358/100)</f>
        <v>9.044</v>
      </c>
      <c r="J358" s="28" t="s">
        <v>34</v>
      </c>
      <c r="K358" s="28" t="s">
        <v>97</v>
      </c>
      <c r="L358" s="46" t="s">
        <v>86</v>
      </c>
      <c r="M358" s="47" t="n">
        <f aca="false">F358*(1-G358/100)-4.2</f>
        <v>3.875</v>
      </c>
      <c r="N358" s="47" t="n">
        <f aca="false">M358*E358</f>
        <v>3.875</v>
      </c>
    </row>
    <row r="359" customFormat="false" ht="16.5" hidden="false" customHeight="true" outlineLevel="0" collapsed="false">
      <c r="A359" s="42" t="n">
        <v>45691</v>
      </c>
      <c r="B359" s="24" t="s">
        <v>457</v>
      </c>
      <c r="C359" s="43" t="s">
        <v>109</v>
      </c>
      <c r="D359" s="43" t="s">
        <v>110</v>
      </c>
      <c r="E359" s="24" t="n">
        <v>4</v>
      </c>
      <c r="F359" s="44" t="n">
        <v>3.5</v>
      </c>
      <c r="G359" s="24" t="n">
        <v>0</v>
      </c>
      <c r="H359" s="24" t="n">
        <v>12</v>
      </c>
      <c r="I359" s="44" t="n">
        <f aca="false">E359*F359*(1-G359/100)*(1+H359/100)</f>
        <v>15.68</v>
      </c>
      <c r="J359" s="24" t="s">
        <v>34</v>
      </c>
      <c r="K359" s="24" t="s">
        <v>88</v>
      </c>
      <c r="L359" s="43" t="s">
        <v>91</v>
      </c>
      <c r="M359" s="44" t="n">
        <f aca="false">F359*(1-G359/100)-1.4</f>
        <v>2.1</v>
      </c>
      <c r="N359" s="44" t="n">
        <f aca="false">M359*E359</f>
        <v>8.4</v>
      </c>
    </row>
    <row r="360" customFormat="false" ht="16.5" hidden="false" customHeight="true" outlineLevel="0" collapsed="false">
      <c r="A360" s="45" t="n">
        <v>45691</v>
      </c>
      <c r="B360" s="28" t="s">
        <v>458</v>
      </c>
      <c r="C360" s="46" t="s">
        <v>25</v>
      </c>
      <c r="D360" s="46" t="s">
        <v>81</v>
      </c>
      <c r="E360" s="28" t="n">
        <v>5</v>
      </c>
      <c r="F360" s="47" t="n">
        <v>3.5</v>
      </c>
      <c r="G360" s="28" t="n">
        <v>5</v>
      </c>
      <c r="H360" s="28" t="n">
        <v>12</v>
      </c>
      <c r="I360" s="47" t="n">
        <f aca="false">E360*F360*(1-G360/100)*(1+H360/100)</f>
        <v>18.62</v>
      </c>
      <c r="J360" s="28" t="s">
        <v>26</v>
      </c>
      <c r="K360" s="28" t="s">
        <v>88</v>
      </c>
      <c r="L360" s="46" t="s">
        <v>89</v>
      </c>
      <c r="M360" s="47" t="n">
        <f aca="false">F360*(1-G360/100)-2.2</f>
        <v>1.125</v>
      </c>
      <c r="N360" s="47" t="n">
        <f aca="false">M360*E360</f>
        <v>5.625</v>
      </c>
    </row>
    <row r="361" customFormat="false" ht="16.5" hidden="false" customHeight="true" outlineLevel="0" collapsed="false">
      <c r="A361" s="42" t="n">
        <v>45691</v>
      </c>
      <c r="B361" s="24" t="s">
        <v>459</v>
      </c>
      <c r="C361" s="43" t="s">
        <v>113</v>
      </c>
      <c r="D361" s="43" t="s">
        <v>96</v>
      </c>
      <c r="E361" s="24" t="n">
        <v>2</v>
      </c>
      <c r="F361" s="44" t="n">
        <v>6</v>
      </c>
      <c r="G361" s="24" t="n">
        <v>0</v>
      </c>
      <c r="H361" s="24" t="n">
        <v>12</v>
      </c>
      <c r="I361" s="44" t="n">
        <f aca="false">E361*F361*(1-G361/100)*(1+H361/100)</f>
        <v>13.44</v>
      </c>
      <c r="J361" s="24" t="s">
        <v>24</v>
      </c>
      <c r="K361" s="24" t="s">
        <v>88</v>
      </c>
      <c r="L361" s="43" t="s">
        <v>98</v>
      </c>
      <c r="M361" s="44" t="n">
        <f aca="false">F361*(1-G361/100)-2.8</f>
        <v>3.2</v>
      </c>
      <c r="N361" s="44" t="n">
        <f aca="false">M361*E361</f>
        <v>6.4</v>
      </c>
    </row>
    <row r="362" customFormat="false" ht="16.5" hidden="false" customHeight="true" outlineLevel="0" collapsed="false">
      <c r="A362" s="45" t="n">
        <v>45691</v>
      </c>
      <c r="B362" s="28" t="s">
        <v>460</v>
      </c>
      <c r="C362" s="46" t="s">
        <v>33</v>
      </c>
      <c r="D362" s="46" t="s">
        <v>104</v>
      </c>
      <c r="E362" s="28" t="n">
        <v>1</v>
      </c>
      <c r="F362" s="47" t="n">
        <v>5</v>
      </c>
      <c r="G362" s="28" t="n">
        <v>5</v>
      </c>
      <c r="H362" s="28" t="n">
        <v>12</v>
      </c>
      <c r="I362" s="47" t="n">
        <f aca="false">E362*F362*(1-G362/100)*(1+H362/100)</f>
        <v>5.32</v>
      </c>
      <c r="J362" s="28" t="s">
        <v>28</v>
      </c>
      <c r="K362" s="28" t="s">
        <v>85</v>
      </c>
      <c r="L362" s="46" t="s">
        <v>83</v>
      </c>
      <c r="M362" s="47" t="n">
        <f aca="false">F362*(1-G362/100)-2.5</f>
        <v>2.25</v>
      </c>
      <c r="N362" s="47" t="n">
        <f aca="false">M362*E362</f>
        <v>2.25</v>
      </c>
    </row>
    <row r="363" customFormat="false" ht="16.5" hidden="false" customHeight="true" outlineLevel="0" collapsed="false">
      <c r="A363" s="42" t="n">
        <v>45691</v>
      </c>
      <c r="B363" s="24" t="s">
        <v>461</v>
      </c>
      <c r="C363" s="43" t="s">
        <v>113</v>
      </c>
      <c r="D363" s="43" t="s">
        <v>96</v>
      </c>
      <c r="E363" s="24" t="n">
        <v>2</v>
      </c>
      <c r="F363" s="44" t="n">
        <v>6</v>
      </c>
      <c r="G363" s="24" t="n">
        <v>5</v>
      </c>
      <c r="H363" s="24" t="n">
        <v>12</v>
      </c>
      <c r="I363" s="44" t="n">
        <f aca="false">E363*F363*(1-G363/100)*(1+H363/100)</f>
        <v>12.768</v>
      </c>
      <c r="J363" s="24" t="s">
        <v>34</v>
      </c>
      <c r="K363" s="24" t="s">
        <v>88</v>
      </c>
      <c r="L363" s="43" t="s">
        <v>111</v>
      </c>
      <c r="M363" s="44" t="n">
        <f aca="false">F363*(1-G363/100)-2.8</f>
        <v>2.9</v>
      </c>
      <c r="N363" s="44" t="n">
        <f aca="false">M363*E363</f>
        <v>5.8</v>
      </c>
    </row>
    <row r="364" customFormat="false" ht="16.5" hidden="false" customHeight="true" outlineLevel="0" collapsed="false">
      <c r="A364" s="45" t="n">
        <v>45691</v>
      </c>
      <c r="B364" s="28" t="s">
        <v>462</v>
      </c>
      <c r="C364" s="46" t="s">
        <v>25</v>
      </c>
      <c r="D364" s="46" t="s">
        <v>81</v>
      </c>
      <c r="E364" s="28" t="n">
        <v>2</v>
      </c>
      <c r="F364" s="47" t="n">
        <v>3.5</v>
      </c>
      <c r="G364" s="28" t="n">
        <v>10</v>
      </c>
      <c r="H364" s="28" t="n">
        <v>12</v>
      </c>
      <c r="I364" s="47" t="n">
        <f aca="false">E364*F364*(1-G364/100)*(1+H364/100)</f>
        <v>7.056</v>
      </c>
      <c r="J364" s="28" t="s">
        <v>26</v>
      </c>
      <c r="K364" s="28" t="s">
        <v>88</v>
      </c>
      <c r="L364" s="46" t="s">
        <v>106</v>
      </c>
      <c r="M364" s="47" t="n">
        <f aca="false">F364*(1-G364/100)-2.2</f>
        <v>0.95</v>
      </c>
      <c r="N364" s="47" t="n">
        <f aca="false">M364*E364</f>
        <v>1.9</v>
      </c>
    </row>
    <row r="365" customFormat="false" ht="16.5" hidden="false" customHeight="true" outlineLevel="0" collapsed="false">
      <c r="A365" s="42" t="n">
        <v>45691</v>
      </c>
      <c r="B365" s="24" t="s">
        <v>463</v>
      </c>
      <c r="C365" s="43" t="s">
        <v>93</v>
      </c>
      <c r="D365" s="43" t="s">
        <v>81</v>
      </c>
      <c r="E365" s="24" t="n">
        <v>5</v>
      </c>
      <c r="F365" s="44" t="n">
        <v>3</v>
      </c>
      <c r="G365" s="24" t="n">
        <v>5</v>
      </c>
      <c r="H365" s="24" t="n">
        <v>12</v>
      </c>
      <c r="I365" s="44" t="n">
        <f aca="false">E365*F365*(1-G365/100)*(1+H365/100)</f>
        <v>15.96</v>
      </c>
      <c r="J365" s="24" t="s">
        <v>28</v>
      </c>
      <c r="K365" s="24" t="s">
        <v>82</v>
      </c>
      <c r="L365" s="43" t="s">
        <v>111</v>
      </c>
      <c r="M365" s="44" t="n">
        <f aca="false">F365*(1-G365/100)-1.5</f>
        <v>1.35</v>
      </c>
      <c r="N365" s="44" t="n">
        <f aca="false">M365*E365</f>
        <v>6.75</v>
      </c>
    </row>
    <row r="366" customFormat="false" ht="16.5" hidden="false" customHeight="true" outlineLevel="0" collapsed="false">
      <c r="A366" s="45" t="n">
        <v>45691</v>
      </c>
      <c r="B366" s="28" t="s">
        <v>464</v>
      </c>
      <c r="C366" s="46" t="s">
        <v>124</v>
      </c>
      <c r="D366" s="46" t="s">
        <v>96</v>
      </c>
      <c r="E366" s="28" t="n">
        <v>3</v>
      </c>
      <c r="F366" s="47" t="n">
        <v>4</v>
      </c>
      <c r="G366" s="28" t="n">
        <v>10</v>
      </c>
      <c r="H366" s="28" t="n">
        <v>12</v>
      </c>
      <c r="I366" s="47" t="n">
        <f aca="false">E366*F366*(1-G366/100)*(1+H366/100)</f>
        <v>12.096</v>
      </c>
      <c r="J366" s="28" t="s">
        <v>28</v>
      </c>
      <c r="K366" s="28" t="s">
        <v>97</v>
      </c>
      <c r="L366" s="46" t="s">
        <v>89</v>
      </c>
      <c r="M366" s="47" t="n">
        <f aca="false">F366*(1-G366/100)-1.8</f>
        <v>1.8</v>
      </c>
      <c r="N366" s="47" t="n">
        <f aca="false">M366*E366</f>
        <v>5.4</v>
      </c>
    </row>
    <row r="367" customFormat="false" ht="16.5" hidden="false" customHeight="true" outlineLevel="0" collapsed="false">
      <c r="A367" s="42" t="n">
        <v>45691</v>
      </c>
      <c r="B367" s="24" t="s">
        <v>465</v>
      </c>
      <c r="C367" s="43" t="s">
        <v>93</v>
      </c>
      <c r="D367" s="43" t="s">
        <v>81</v>
      </c>
      <c r="E367" s="24" t="n">
        <v>2</v>
      </c>
      <c r="F367" s="44" t="n">
        <v>3</v>
      </c>
      <c r="G367" s="24" t="n">
        <v>0</v>
      </c>
      <c r="H367" s="24" t="n">
        <v>12</v>
      </c>
      <c r="I367" s="44" t="n">
        <f aca="false">E367*F367*(1-G367/100)*(1+H367/100)</f>
        <v>6.72</v>
      </c>
      <c r="J367" s="24" t="s">
        <v>28</v>
      </c>
      <c r="K367" s="24" t="s">
        <v>88</v>
      </c>
      <c r="L367" s="43" t="s">
        <v>122</v>
      </c>
      <c r="M367" s="44" t="n">
        <f aca="false">F367*(1-G367/100)-1.5</f>
        <v>1.5</v>
      </c>
      <c r="N367" s="44" t="n">
        <f aca="false">M367*E367</f>
        <v>3</v>
      </c>
    </row>
    <row r="368" customFormat="false" ht="16.5" hidden="false" customHeight="true" outlineLevel="0" collapsed="false">
      <c r="A368" s="45" t="n">
        <v>45691</v>
      </c>
      <c r="B368" s="28" t="s">
        <v>466</v>
      </c>
      <c r="C368" s="46" t="s">
        <v>33</v>
      </c>
      <c r="D368" s="46" t="s">
        <v>104</v>
      </c>
      <c r="E368" s="28" t="n">
        <v>3</v>
      </c>
      <c r="F368" s="47" t="n">
        <v>5</v>
      </c>
      <c r="G368" s="28" t="n">
        <v>0</v>
      </c>
      <c r="H368" s="28" t="n">
        <v>12</v>
      </c>
      <c r="I368" s="47" t="n">
        <f aca="false">E368*F368*(1-G368/100)*(1+H368/100)</f>
        <v>16.8</v>
      </c>
      <c r="J368" s="28" t="s">
        <v>26</v>
      </c>
      <c r="K368" s="28" t="s">
        <v>85</v>
      </c>
      <c r="L368" s="46" t="s">
        <v>106</v>
      </c>
      <c r="M368" s="47" t="n">
        <f aca="false">F368*(1-G368/100)-2.5</f>
        <v>2.5</v>
      </c>
      <c r="N368" s="47" t="n">
        <f aca="false">M368*E368</f>
        <v>7.5</v>
      </c>
    </row>
    <row r="369" customFormat="false" ht="16.5" hidden="false" customHeight="true" outlineLevel="0" collapsed="false">
      <c r="A369" s="42" t="n">
        <v>45691</v>
      </c>
      <c r="B369" s="24" t="s">
        <v>467</v>
      </c>
      <c r="C369" s="43" t="s">
        <v>93</v>
      </c>
      <c r="D369" s="43" t="s">
        <v>81</v>
      </c>
      <c r="E369" s="24" t="n">
        <v>3</v>
      </c>
      <c r="F369" s="44" t="n">
        <v>3</v>
      </c>
      <c r="G369" s="24" t="n">
        <v>10</v>
      </c>
      <c r="H369" s="24" t="n">
        <v>12</v>
      </c>
      <c r="I369" s="44" t="n">
        <f aca="false">E369*F369*(1-G369/100)*(1+H369/100)</f>
        <v>9.072</v>
      </c>
      <c r="J369" s="24" t="s">
        <v>28</v>
      </c>
      <c r="K369" s="24" t="s">
        <v>97</v>
      </c>
      <c r="L369" s="43" t="s">
        <v>98</v>
      </c>
      <c r="M369" s="44" t="n">
        <f aca="false">F369*(1-G369/100)-1.5</f>
        <v>1.2</v>
      </c>
      <c r="N369" s="44" t="n">
        <f aca="false">M369*E369</f>
        <v>3.6</v>
      </c>
    </row>
    <row r="370" customFormat="false" ht="16.5" hidden="false" customHeight="true" outlineLevel="0" collapsed="false">
      <c r="A370" s="45" t="n">
        <v>45692</v>
      </c>
      <c r="B370" s="28" t="s">
        <v>468</v>
      </c>
      <c r="C370" s="46" t="s">
        <v>124</v>
      </c>
      <c r="D370" s="46" t="s">
        <v>96</v>
      </c>
      <c r="E370" s="28" t="n">
        <v>4</v>
      </c>
      <c r="F370" s="47" t="n">
        <v>4</v>
      </c>
      <c r="G370" s="28" t="n">
        <v>5</v>
      </c>
      <c r="H370" s="28" t="n">
        <v>12</v>
      </c>
      <c r="I370" s="47" t="n">
        <f aca="false">E370*F370*(1-G370/100)*(1+H370/100)</f>
        <v>17.024</v>
      </c>
      <c r="J370" s="28" t="s">
        <v>28</v>
      </c>
      <c r="K370" s="28" t="s">
        <v>82</v>
      </c>
      <c r="L370" s="46" t="s">
        <v>122</v>
      </c>
      <c r="M370" s="47" t="n">
        <f aca="false">F370*(1-G370/100)-1.8</f>
        <v>2</v>
      </c>
      <c r="N370" s="47" t="n">
        <f aca="false">M370*E370</f>
        <v>8</v>
      </c>
    </row>
    <row r="371" customFormat="false" ht="16.5" hidden="false" customHeight="true" outlineLevel="0" collapsed="false">
      <c r="A371" s="42" t="n">
        <v>45692</v>
      </c>
      <c r="B371" s="24" t="s">
        <v>469</v>
      </c>
      <c r="C371" s="43" t="s">
        <v>25</v>
      </c>
      <c r="D371" s="43" t="s">
        <v>81</v>
      </c>
      <c r="E371" s="24" t="n">
        <v>3</v>
      </c>
      <c r="F371" s="44" t="n">
        <v>3.5</v>
      </c>
      <c r="G371" s="24" t="n">
        <v>0</v>
      </c>
      <c r="H371" s="24" t="n">
        <v>12</v>
      </c>
      <c r="I371" s="44" t="n">
        <f aca="false">E371*F371*(1-G371/100)*(1+H371/100)</f>
        <v>11.76</v>
      </c>
      <c r="J371" s="24" t="s">
        <v>28</v>
      </c>
      <c r="K371" s="24" t="s">
        <v>85</v>
      </c>
      <c r="L371" s="43" t="s">
        <v>122</v>
      </c>
      <c r="M371" s="44" t="n">
        <f aca="false">F371*(1-G371/100)-2.2</f>
        <v>1.3</v>
      </c>
      <c r="N371" s="44" t="n">
        <f aca="false">M371*E371</f>
        <v>3.9</v>
      </c>
    </row>
    <row r="372" customFormat="false" ht="16.5" hidden="false" customHeight="true" outlineLevel="0" collapsed="false">
      <c r="A372" s="45" t="n">
        <v>45692</v>
      </c>
      <c r="B372" s="28" t="s">
        <v>470</v>
      </c>
      <c r="C372" s="46" t="s">
        <v>93</v>
      </c>
      <c r="D372" s="46" t="s">
        <v>81</v>
      </c>
      <c r="E372" s="28" t="n">
        <v>2</v>
      </c>
      <c r="F372" s="47" t="n">
        <v>3</v>
      </c>
      <c r="G372" s="28" t="n">
        <v>0</v>
      </c>
      <c r="H372" s="28" t="n">
        <v>12</v>
      </c>
      <c r="I372" s="47" t="n">
        <f aca="false">E372*F372*(1-G372/100)*(1+H372/100)</f>
        <v>6.72</v>
      </c>
      <c r="J372" s="28" t="s">
        <v>34</v>
      </c>
      <c r="K372" s="28" t="s">
        <v>97</v>
      </c>
      <c r="L372" s="46" t="s">
        <v>117</v>
      </c>
      <c r="M372" s="47" t="n">
        <f aca="false">F372*(1-G372/100)-1.5</f>
        <v>1.5</v>
      </c>
      <c r="N372" s="47" t="n">
        <f aca="false">M372*E372</f>
        <v>3</v>
      </c>
    </row>
    <row r="373" customFormat="false" ht="16.5" hidden="false" customHeight="true" outlineLevel="0" collapsed="false">
      <c r="A373" s="42" t="n">
        <v>45692</v>
      </c>
      <c r="B373" s="24" t="s">
        <v>471</v>
      </c>
      <c r="C373" s="43" t="s">
        <v>35</v>
      </c>
      <c r="D373" s="43" t="s">
        <v>81</v>
      </c>
      <c r="E373" s="24" t="n">
        <v>2</v>
      </c>
      <c r="F373" s="44" t="n">
        <v>1.5</v>
      </c>
      <c r="G373" s="24" t="n">
        <v>0</v>
      </c>
      <c r="H373" s="24" t="n">
        <v>12</v>
      </c>
      <c r="I373" s="44" t="n">
        <f aca="false">E373*F373*(1-G373/100)*(1+H373/100)</f>
        <v>3.36</v>
      </c>
      <c r="J373" s="24" t="s">
        <v>34</v>
      </c>
      <c r="K373" s="24" t="s">
        <v>88</v>
      </c>
      <c r="L373" s="43" t="s">
        <v>91</v>
      </c>
      <c r="M373" s="44" t="n">
        <f aca="false">F373*(1-G373/100)-0.6</f>
        <v>0.9</v>
      </c>
      <c r="N373" s="44" t="n">
        <f aca="false">M373*E373</f>
        <v>1.8</v>
      </c>
    </row>
    <row r="374" customFormat="false" ht="16.5" hidden="false" customHeight="true" outlineLevel="0" collapsed="false">
      <c r="A374" s="45" t="n">
        <v>45692</v>
      </c>
      <c r="B374" s="28" t="s">
        <v>472</v>
      </c>
      <c r="C374" s="46" t="s">
        <v>33</v>
      </c>
      <c r="D374" s="46" t="s">
        <v>104</v>
      </c>
      <c r="E374" s="28" t="n">
        <v>1</v>
      </c>
      <c r="F374" s="47" t="n">
        <v>5</v>
      </c>
      <c r="G374" s="28" t="n">
        <v>10</v>
      </c>
      <c r="H374" s="28" t="n">
        <v>12</v>
      </c>
      <c r="I374" s="47" t="n">
        <f aca="false">E374*F374*(1-G374/100)*(1+H374/100)</f>
        <v>5.04</v>
      </c>
      <c r="J374" s="28" t="s">
        <v>26</v>
      </c>
      <c r="K374" s="28" t="s">
        <v>82</v>
      </c>
      <c r="L374" s="46" t="s">
        <v>86</v>
      </c>
      <c r="M374" s="47" t="n">
        <f aca="false">F374*(1-G374/100)-2.5</f>
        <v>2</v>
      </c>
      <c r="N374" s="47" t="n">
        <f aca="false">M374*E374</f>
        <v>2</v>
      </c>
    </row>
    <row r="375" customFormat="false" ht="16.5" hidden="false" customHeight="true" outlineLevel="0" collapsed="false">
      <c r="A375" s="42" t="n">
        <v>45692</v>
      </c>
      <c r="B375" s="24" t="s">
        <v>473</v>
      </c>
      <c r="C375" s="43" t="s">
        <v>27</v>
      </c>
      <c r="D375" s="43" t="s">
        <v>81</v>
      </c>
      <c r="E375" s="24" t="n">
        <v>4</v>
      </c>
      <c r="F375" s="44" t="n">
        <v>4.5</v>
      </c>
      <c r="G375" s="24" t="n">
        <v>0</v>
      </c>
      <c r="H375" s="24" t="n">
        <v>12</v>
      </c>
      <c r="I375" s="44" t="n">
        <f aca="false">E375*F375*(1-G375/100)*(1+H375/100)</f>
        <v>20.16</v>
      </c>
      <c r="J375" s="24" t="s">
        <v>32</v>
      </c>
      <c r="K375" s="24" t="s">
        <v>101</v>
      </c>
      <c r="L375" s="43" t="s">
        <v>83</v>
      </c>
      <c r="M375" s="44" t="n">
        <f aca="false">F375*(1-G375/100)-2.8</f>
        <v>1.7</v>
      </c>
      <c r="N375" s="44" t="n">
        <f aca="false">M375*E375</f>
        <v>6.8</v>
      </c>
    </row>
    <row r="376" customFormat="false" ht="16.5" hidden="false" customHeight="true" outlineLevel="0" collapsed="false">
      <c r="A376" s="45" t="n">
        <v>45692</v>
      </c>
      <c r="B376" s="28" t="s">
        <v>474</v>
      </c>
      <c r="C376" s="46" t="s">
        <v>25</v>
      </c>
      <c r="D376" s="46" t="s">
        <v>81</v>
      </c>
      <c r="E376" s="28" t="n">
        <v>5</v>
      </c>
      <c r="F376" s="47" t="n">
        <v>3.5</v>
      </c>
      <c r="G376" s="28" t="n">
        <v>0</v>
      </c>
      <c r="H376" s="28" t="n">
        <v>12</v>
      </c>
      <c r="I376" s="47" t="n">
        <f aca="false">E376*F376*(1-G376/100)*(1+H376/100)</f>
        <v>19.6</v>
      </c>
      <c r="J376" s="28" t="s">
        <v>32</v>
      </c>
      <c r="K376" s="28" t="s">
        <v>85</v>
      </c>
      <c r="L376" s="46" t="s">
        <v>111</v>
      </c>
      <c r="M376" s="47" t="n">
        <f aca="false">F376*(1-G376/100)-2.2</f>
        <v>1.3</v>
      </c>
      <c r="N376" s="47" t="n">
        <f aca="false">M376*E376</f>
        <v>6.5</v>
      </c>
    </row>
    <row r="377" customFormat="false" ht="16.5" hidden="false" customHeight="true" outlineLevel="0" collapsed="false">
      <c r="A377" s="42" t="n">
        <v>45692</v>
      </c>
      <c r="B377" s="24" t="s">
        <v>475</v>
      </c>
      <c r="C377" s="43" t="s">
        <v>33</v>
      </c>
      <c r="D377" s="43" t="s">
        <v>104</v>
      </c>
      <c r="E377" s="24" t="n">
        <v>3</v>
      </c>
      <c r="F377" s="44" t="n">
        <v>5</v>
      </c>
      <c r="G377" s="24" t="n">
        <v>0</v>
      </c>
      <c r="H377" s="24" t="n">
        <v>12</v>
      </c>
      <c r="I377" s="44" t="n">
        <f aca="false">E377*F377*(1-G377/100)*(1+H377/100)</f>
        <v>16.8</v>
      </c>
      <c r="J377" s="24" t="s">
        <v>28</v>
      </c>
      <c r="K377" s="24" t="s">
        <v>101</v>
      </c>
      <c r="L377" s="43" t="s">
        <v>98</v>
      </c>
      <c r="M377" s="44" t="n">
        <f aca="false">F377*(1-G377/100)-2.5</f>
        <v>2.5</v>
      </c>
      <c r="N377" s="44" t="n">
        <f aca="false">M377*E377</f>
        <v>7.5</v>
      </c>
    </row>
    <row r="378" customFormat="false" ht="16.5" hidden="false" customHeight="true" outlineLevel="0" collapsed="false">
      <c r="A378" s="45" t="n">
        <v>45692</v>
      </c>
      <c r="B378" s="28" t="s">
        <v>476</v>
      </c>
      <c r="C378" s="46" t="s">
        <v>109</v>
      </c>
      <c r="D378" s="46" t="s">
        <v>110</v>
      </c>
      <c r="E378" s="28" t="n">
        <v>2</v>
      </c>
      <c r="F378" s="47" t="n">
        <v>3.5</v>
      </c>
      <c r="G378" s="28" t="n">
        <v>10</v>
      </c>
      <c r="H378" s="28" t="n">
        <v>12</v>
      </c>
      <c r="I378" s="47" t="n">
        <f aca="false">E378*F378*(1-G378/100)*(1+H378/100)</f>
        <v>7.056</v>
      </c>
      <c r="J378" s="28" t="s">
        <v>24</v>
      </c>
      <c r="K378" s="28" t="s">
        <v>82</v>
      </c>
      <c r="L378" s="46" t="s">
        <v>94</v>
      </c>
      <c r="M378" s="47" t="n">
        <f aca="false">F378*(1-G378/100)-1.4</f>
        <v>1.75</v>
      </c>
      <c r="N378" s="47" t="n">
        <f aca="false">M378*E378</f>
        <v>3.5</v>
      </c>
    </row>
    <row r="379" customFormat="false" ht="16.5" hidden="false" customHeight="true" outlineLevel="0" collapsed="false">
      <c r="A379" s="42" t="n">
        <v>45692</v>
      </c>
      <c r="B379" s="24" t="s">
        <v>477</v>
      </c>
      <c r="C379" s="43" t="s">
        <v>29</v>
      </c>
      <c r="D379" s="43" t="s">
        <v>104</v>
      </c>
      <c r="E379" s="24" t="n">
        <v>1</v>
      </c>
      <c r="F379" s="44" t="n">
        <v>2.5</v>
      </c>
      <c r="G379" s="24" t="n">
        <v>5</v>
      </c>
      <c r="H379" s="24" t="n">
        <v>12</v>
      </c>
      <c r="I379" s="44" t="n">
        <f aca="false">E379*F379*(1-G379/100)*(1+H379/100)</f>
        <v>2.66</v>
      </c>
      <c r="J379" s="24" t="s">
        <v>32</v>
      </c>
      <c r="K379" s="24" t="s">
        <v>82</v>
      </c>
      <c r="L379" s="43" t="s">
        <v>122</v>
      </c>
      <c r="M379" s="44" t="n">
        <f aca="false">F379*(1-G379/100)-1.1</f>
        <v>1.275</v>
      </c>
      <c r="N379" s="44" t="n">
        <f aca="false">M379*E379</f>
        <v>1.275</v>
      </c>
    </row>
    <row r="380" customFormat="false" ht="16.5" hidden="false" customHeight="true" outlineLevel="0" collapsed="false">
      <c r="A380" s="45" t="n">
        <v>45692</v>
      </c>
      <c r="B380" s="28" t="s">
        <v>478</v>
      </c>
      <c r="C380" s="46" t="s">
        <v>25</v>
      </c>
      <c r="D380" s="46" t="s">
        <v>81</v>
      </c>
      <c r="E380" s="28" t="n">
        <v>1</v>
      </c>
      <c r="F380" s="47" t="n">
        <v>3.5</v>
      </c>
      <c r="G380" s="28" t="n">
        <v>0</v>
      </c>
      <c r="H380" s="28" t="n">
        <v>12</v>
      </c>
      <c r="I380" s="47" t="n">
        <f aca="false">E380*F380*(1-G380/100)*(1+H380/100)</f>
        <v>3.92</v>
      </c>
      <c r="J380" s="28" t="s">
        <v>34</v>
      </c>
      <c r="K380" s="28" t="s">
        <v>88</v>
      </c>
      <c r="L380" s="46" t="s">
        <v>98</v>
      </c>
      <c r="M380" s="47" t="n">
        <f aca="false">F380*(1-G380/100)-2.2</f>
        <v>1.3</v>
      </c>
      <c r="N380" s="47" t="n">
        <f aca="false">M380*E380</f>
        <v>1.3</v>
      </c>
    </row>
    <row r="381" customFormat="false" ht="16.5" hidden="false" customHeight="true" outlineLevel="0" collapsed="false">
      <c r="A381" s="42" t="n">
        <v>45692</v>
      </c>
      <c r="B381" s="24" t="s">
        <v>479</v>
      </c>
      <c r="C381" s="43" t="s">
        <v>36</v>
      </c>
      <c r="D381" s="43" t="s">
        <v>96</v>
      </c>
      <c r="E381" s="24" t="n">
        <v>3</v>
      </c>
      <c r="F381" s="44" t="n">
        <v>8.5</v>
      </c>
      <c r="G381" s="24" t="n">
        <v>5</v>
      </c>
      <c r="H381" s="24" t="n">
        <v>12</v>
      </c>
      <c r="I381" s="44" t="n">
        <f aca="false">E381*F381*(1-G381/100)*(1+H381/100)</f>
        <v>27.132</v>
      </c>
      <c r="J381" s="24" t="s">
        <v>34</v>
      </c>
      <c r="K381" s="24" t="s">
        <v>88</v>
      </c>
      <c r="L381" s="43" t="s">
        <v>111</v>
      </c>
      <c r="M381" s="44" t="n">
        <f aca="false">F381*(1-G381/100)-4.2</f>
        <v>3.875</v>
      </c>
      <c r="N381" s="44" t="n">
        <f aca="false">M381*E381</f>
        <v>11.625</v>
      </c>
    </row>
    <row r="382" customFormat="false" ht="16.5" hidden="false" customHeight="true" outlineLevel="0" collapsed="false">
      <c r="A382" s="45" t="n">
        <v>45692</v>
      </c>
      <c r="B382" s="28" t="s">
        <v>480</v>
      </c>
      <c r="C382" s="46" t="s">
        <v>29</v>
      </c>
      <c r="D382" s="46" t="s">
        <v>104</v>
      </c>
      <c r="E382" s="28" t="n">
        <v>5</v>
      </c>
      <c r="F382" s="47" t="n">
        <v>2.5</v>
      </c>
      <c r="G382" s="28" t="n">
        <v>5</v>
      </c>
      <c r="H382" s="28" t="n">
        <v>12</v>
      </c>
      <c r="I382" s="47" t="n">
        <f aca="false">E382*F382*(1-G382/100)*(1+H382/100)</f>
        <v>13.3</v>
      </c>
      <c r="J382" s="28" t="s">
        <v>28</v>
      </c>
      <c r="K382" s="28" t="s">
        <v>82</v>
      </c>
      <c r="L382" s="46" t="s">
        <v>98</v>
      </c>
      <c r="M382" s="47" t="n">
        <f aca="false">F382*(1-G382/100)-1.1</f>
        <v>1.275</v>
      </c>
      <c r="N382" s="47" t="n">
        <f aca="false">M382*E382</f>
        <v>6.375</v>
      </c>
    </row>
    <row r="383" customFormat="false" ht="16.5" hidden="false" customHeight="true" outlineLevel="0" collapsed="false">
      <c r="A383" s="42" t="n">
        <v>45692</v>
      </c>
      <c r="B383" s="24" t="s">
        <v>481</v>
      </c>
      <c r="C383" s="43" t="s">
        <v>36</v>
      </c>
      <c r="D383" s="43" t="s">
        <v>96</v>
      </c>
      <c r="E383" s="24" t="n">
        <v>2</v>
      </c>
      <c r="F383" s="44" t="n">
        <v>8.5</v>
      </c>
      <c r="G383" s="24" t="n">
        <v>5</v>
      </c>
      <c r="H383" s="24" t="n">
        <v>12</v>
      </c>
      <c r="I383" s="44" t="n">
        <f aca="false">E383*F383*(1-G383/100)*(1+H383/100)</f>
        <v>18.088</v>
      </c>
      <c r="J383" s="24" t="s">
        <v>28</v>
      </c>
      <c r="K383" s="24" t="s">
        <v>82</v>
      </c>
      <c r="L383" s="43" t="s">
        <v>86</v>
      </c>
      <c r="M383" s="44" t="n">
        <f aca="false">F383*(1-G383/100)-4.2</f>
        <v>3.875</v>
      </c>
      <c r="N383" s="44" t="n">
        <f aca="false">M383*E383</f>
        <v>7.75</v>
      </c>
    </row>
    <row r="384" customFormat="false" ht="16.5" hidden="false" customHeight="true" outlineLevel="0" collapsed="false">
      <c r="A384" s="45" t="n">
        <v>45693</v>
      </c>
      <c r="B384" s="28" t="s">
        <v>482</v>
      </c>
      <c r="C384" s="46" t="s">
        <v>35</v>
      </c>
      <c r="D384" s="46" t="s">
        <v>81</v>
      </c>
      <c r="E384" s="28" t="n">
        <v>5</v>
      </c>
      <c r="F384" s="47" t="n">
        <v>1.5</v>
      </c>
      <c r="G384" s="28" t="n">
        <v>0</v>
      </c>
      <c r="H384" s="28" t="n">
        <v>12</v>
      </c>
      <c r="I384" s="47" t="n">
        <f aca="false">E384*F384*(1-G384/100)*(1+H384/100)</f>
        <v>8.4</v>
      </c>
      <c r="J384" s="28" t="s">
        <v>26</v>
      </c>
      <c r="K384" s="28" t="s">
        <v>88</v>
      </c>
      <c r="L384" s="46" t="s">
        <v>94</v>
      </c>
      <c r="M384" s="47" t="n">
        <f aca="false">F384*(1-G384/100)-0.6</f>
        <v>0.9</v>
      </c>
      <c r="N384" s="47" t="n">
        <f aca="false">M384*E384</f>
        <v>4.5</v>
      </c>
    </row>
    <row r="385" customFormat="false" ht="16.5" hidden="false" customHeight="true" outlineLevel="0" collapsed="false">
      <c r="A385" s="42" t="n">
        <v>45693</v>
      </c>
      <c r="B385" s="24" t="s">
        <v>483</v>
      </c>
      <c r="C385" s="43" t="s">
        <v>113</v>
      </c>
      <c r="D385" s="43" t="s">
        <v>96</v>
      </c>
      <c r="E385" s="24" t="n">
        <v>5</v>
      </c>
      <c r="F385" s="44" t="n">
        <v>6</v>
      </c>
      <c r="G385" s="24" t="n">
        <v>0</v>
      </c>
      <c r="H385" s="24" t="n">
        <v>12</v>
      </c>
      <c r="I385" s="44" t="n">
        <f aca="false">E385*F385*(1-G385/100)*(1+H385/100)</f>
        <v>33.6</v>
      </c>
      <c r="J385" s="24" t="s">
        <v>24</v>
      </c>
      <c r="K385" s="24" t="s">
        <v>85</v>
      </c>
      <c r="L385" s="43" t="s">
        <v>98</v>
      </c>
      <c r="M385" s="44" t="n">
        <f aca="false">F385*(1-G385/100)-2.8</f>
        <v>3.2</v>
      </c>
      <c r="N385" s="44" t="n">
        <f aca="false">M385*E385</f>
        <v>16</v>
      </c>
    </row>
    <row r="386" customFormat="false" ht="16.5" hidden="false" customHeight="true" outlineLevel="0" collapsed="false">
      <c r="A386" s="45" t="n">
        <v>45693</v>
      </c>
      <c r="B386" s="28" t="s">
        <v>484</v>
      </c>
      <c r="C386" s="46" t="s">
        <v>29</v>
      </c>
      <c r="D386" s="46" t="s">
        <v>104</v>
      </c>
      <c r="E386" s="28" t="n">
        <v>2</v>
      </c>
      <c r="F386" s="47" t="n">
        <v>2.5</v>
      </c>
      <c r="G386" s="28" t="n">
        <v>5</v>
      </c>
      <c r="H386" s="28" t="n">
        <v>12</v>
      </c>
      <c r="I386" s="47" t="n">
        <f aca="false">E386*F386*(1-G386/100)*(1+H386/100)</f>
        <v>5.32</v>
      </c>
      <c r="J386" s="28" t="s">
        <v>28</v>
      </c>
      <c r="K386" s="28" t="s">
        <v>82</v>
      </c>
      <c r="L386" s="46" t="s">
        <v>86</v>
      </c>
      <c r="M386" s="47" t="n">
        <f aca="false">F386*(1-G386/100)-1.1</f>
        <v>1.275</v>
      </c>
      <c r="N386" s="47" t="n">
        <f aca="false">M386*E386</f>
        <v>2.55</v>
      </c>
    </row>
    <row r="387" customFormat="false" ht="16.5" hidden="false" customHeight="true" outlineLevel="0" collapsed="false">
      <c r="A387" s="42" t="n">
        <v>45693</v>
      </c>
      <c r="B387" s="24" t="s">
        <v>485</v>
      </c>
      <c r="C387" s="43" t="s">
        <v>35</v>
      </c>
      <c r="D387" s="43" t="s">
        <v>81</v>
      </c>
      <c r="E387" s="24" t="n">
        <v>4</v>
      </c>
      <c r="F387" s="44" t="n">
        <v>1.5</v>
      </c>
      <c r="G387" s="24" t="n">
        <v>0</v>
      </c>
      <c r="H387" s="24" t="n">
        <v>12</v>
      </c>
      <c r="I387" s="44" t="n">
        <f aca="false">E387*F387*(1-G387/100)*(1+H387/100)</f>
        <v>6.72</v>
      </c>
      <c r="J387" s="24" t="s">
        <v>32</v>
      </c>
      <c r="K387" s="24" t="s">
        <v>97</v>
      </c>
      <c r="L387" s="43" t="s">
        <v>106</v>
      </c>
      <c r="M387" s="44" t="n">
        <f aca="false">F387*(1-G387/100)-0.6</f>
        <v>0.9</v>
      </c>
      <c r="N387" s="44" t="n">
        <f aca="false">M387*E387</f>
        <v>3.6</v>
      </c>
    </row>
    <row r="388" customFormat="false" ht="16.5" hidden="false" customHeight="true" outlineLevel="0" collapsed="false">
      <c r="A388" s="45" t="n">
        <v>45693</v>
      </c>
      <c r="B388" s="28" t="s">
        <v>486</v>
      </c>
      <c r="C388" s="46" t="s">
        <v>35</v>
      </c>
      <c r="D388" s="46" t="s">
        <v>81</v>
      </c>
      <c r="E388" s="28" t="n">
        <v>5</v>
      </c>
      <c r="F388" s="47" t="n">
        <v>1.5</v>
      </c>
      <c r="G388" s="28" t="n">
        <v>10</v>
      </c>
      <c r="H388" s="28" t="n">
        <v>12</v>
      </c>
      <c r="I388" s="47" t="n">
        <f aca="false">E388*F388*(1-G388/100)*(1+H388/100)</f>
        <v>7.56</v>
      </c>
      <c r="J388" s="28" t="s">
        <v>24</v>
      </c>
      <c r="K388" s="28" t="s">
        <v>97</v>
      </c>
      <c r="L388" s="46" t="s">
        <v>106</v>
      </c>
      <c r="M388" s="47" t="n">
        <f aca="false">F388*(1-G388/100)-0.6</f>
        <v>0.75</v>
      </c>
      <c r="N388" s="47" t="n">
        <f aca="false">M388*E388</f>
        <v>3.75</v>
      </c>
    </row>
    <row r="389" customFormat="false" ht="16.5" hidden="false" customHeight="true" outlineLevel="0" collapsed="false">
      <c r="A389" s="42" t="n">
        <v>45693</v>
      </c>
      <c r="B389" s="24" t="s">
        <v>487</v>
      </c>
      <c r="C389" s="43" t="s">
        <v>33</v>
      </c>
      <c r="D389" s="43" t="s">
        <v>104</v>
      </c>
      <c r="E389" s="24" t="n">
        <v>1</v>
      </c>
      <c r="F389" s="44" t="n">
        <v>5</v>
      </c>
      <c r="G389" s="24" t="n">
        <v>0</v>
      </c>
      <c r="H389" s="24" t="n">
        <v>12</v>
      </c>
      <c r="I389" s="44" t="n">
        <f aca="false">E389*F389*(1-G389/100)*(1+H389/100)</f>
        <v>5.6</v>
      </c>
      <c r="J389" s="24" t="s">
        <v>32</v>
      </c>
      <c r="K389" s="24" t="s">
        <v>97</v>
      </c>
      <c r="L389" s="43" t="s">
        <v>83</v>
      </c>
      <c r="M389" s="44" t="n">
        <f aca="false">F389*(1-G389/100)-2.5</f>
        <v>2.5</v>
      </c>
      <c r="N389" s="44" t="n">
        <f aca="false">M389*E389</f>
        <v>2.5</v>
      </c>
    </row>
    <row r="390" customFormat="false" ht="16.5" hidden="false" customHeight="true" outlineLevel="0" collapsed="false">
      <c r="A390" s="45" t="n">
        <v>45693</v>
      </c>
      <c r="B390" s="28" t="s">
        <v>488</v>
      </c>
      <c r="C390" s="46" t="s">
        <v>113</v>
      </c>
      <c r="D390" s="46" t="s">
        <v>96</v>
      </c>
      <c r="E390" s="28" t="n">
        <v>5</v>
      </c>
      <c r="F390" s="47" t="n">
        <v>6</v>
      </c>
      <c r="G390" s="28" t="n">
        <v>0</v>
      </c>
      <c r="H390" s="28" t="n">
        <v>12</v>
      </c>
      <c r="I390" s="47" t="n">
        <f aca="false">E390*F390*(1-G390/100)*(1+H390/100)</f>
        <v>33.6</v>
      </c>
      <c r="J390" s="28" t="s">
        <v>24</v>
      </c>
      <c r="K390" s="28" t="s">
        <v>97</v>
      </c>
      <c r="L390" s="46" t="s">
        <v>106</v>
      </c>
      <c r="M390" s="47" t="n">
        <f aca="false">F390*(1-G390/100)-2.8</f>
        <v>3.2</v>
      </c>
      <c r="N390" s="47" t="n">
        <f aca="false">M390*E390</f>
        <v>16</v>
      </c>
    </row>
    <row r="391" customFormat="false" ht="16.5" hidden="false" customHeight="true" outlineLevel="0" collapsed="false">
      <c r="A391" s="42" t="n">
        <v>45693</v>
      </c>
      <c r="B391" s="24" t="s">
        <v>489</v>
      </c>
      <c r="C391" s="43" t="s">
        <v>109</v>
      </c>
      <c r="D391" s="43" t="s">
        <v>110</v>
      </c>
      <c r="E391" s="24" t="n">
        <v>2</v>
      </c>
      <c r="F391" s="44" t="n">
        <v>3.5</v>
      </c>
      <c r="G391" s="24" t="n">
        <v>0</v>
      </c>
      <c r="H391" s="24" t="n">
        <v>12</v>
      </c>
      <c r="I391" s="44" t="n">
        <f aca="false">E391*F391*(1-G391/100)*(1+H391/100)</f>
        <v>7.84</v>
      </c>
      <c r="J391" s="24" t="s">
        <v>26</v>
      </c>
      <c r="K391" s="24" t="s">
        <v>85</v>
      </c>
      <c r="L391" s="43" t="s">
        <v>83</v>
      </c>
      <c r="M391" s="44" t="n">
        <f aca="false">F391*(1-G391/100)-1.4</f>
        <v>2.1</v>
      </c>
      <c r="N391" s="44" t="n">
        <f aca="false">M391*E391</f>
        <v>4.2</v>
      </c>
    </row>
    <row r="392" customFormat="false" ht="16.5" hidden="false" customHeight="true" outlineLevel="0" collapsed="false">
      <c r="A392" s="45" t="n">
        <v>45693</v>
      </c>
      <c r="B392" s="28" t="s">
        <v>490</v>
      </c>
      <c r="C392" s="46" t="s">
        <v>93</v>
      </c>
      <c r="D392" s="46" t="s">
        <v>81</v>
      </c>
      <c r="E392" s="28" t="n">
        <v>5</v>
      </c>
      <c r="F392" s="47" t="n">
        <v>3</v>
      </c>
      <c r="G392" s="28" t="n">
        <v>0</v>
      </c>
      <c r="H392" s="28" t="n">
        <v>12</v>
      </c>
      <c r="I392" s="47" t="n">
        <f aca="false">E392*F392*(1-G392/100)*(1+H392/100)</f>
        <v>16.8</v>
      </c>
      <c r="J392" s="28" t="s">
        <v>32</v>
      </c>
      <c r="K392" s="28" t="s">
        <v>88</v>
      </c>
      <c r="L392" s="46" t="s">
        <v>111</v>
      </c>
      <c r="M392" s="47" t="n">
        <f aca="false">F392*(1-G392/100)-1.5</f>
        <v>1.5</v>
      </c>
      <c r="N392" s="47" t="n">
        <f aca="false">M392*E392</f>
        <v>7.5</v>
      </c>
    </row>
    <row r="393" customFormat="false" ht="16.5" hidden="false" customHeight="true" outlineLevel="0" collapsed="false">
      <c r="A393" s="42" t="n">
        <v>45693</v>
      </c>
      <c r="B393" s="24" t="s">
        <v>491</v>
      </c>
      <c r="C393" s="43" t="s">
        <v>124</v>
      </c>
      <c r="D393" s="43" t="s">
        <v>96</v>
      </c>
      <c r="E393" s="24" t="n">
        <v>2</v>
      </c>
      <c r="F393" s="44" t="n">
        <v>4</v>
      </c>
      <c r="G393" s="24" t="n">
        <v>0</v>
      </c>
      <c r="H393" s="24" t="n">
        <v>12</v>
      </c>
      <c r="I393" s="44" t="n">
        <f aca="false">E393*F393*(1-G393/100)*(1+H393/100)</f>
        <v>8.96</v>
      </c>
      <c r="J393" s="24" t="s">
        <v>34</v>
      </c>
      <c r="K393" s="24" t="s">
        <v>101</v>
      </c>
      <c r="L393" s="43" t="s">
        <v>117</v>
      </c>
      <c r="M393" s="44" t="n">
        <f aca="false">F393*(1-G393/100)-1.8</f>
        <v>2.2</v>
      </c>
      <c r="N393" s="44" t="n">
        <f aca="false">M393*E393</f>
        <v>4.4</v>
      </c>
    </row>
    <row r="394" customFormat="false" ht="16.5" hidden="false" customHeight="true" outlineLevel="0" collapsed="false">
      <c r="A394" s="45" t="n">
        <v>45694</v>
      </c>
      <c r="B394" s="28" t="s">
        <v>492</v>
      </c>
      <c r="C394" s="46" t="s">
        <v>124</v>
      </c>
      <c r="D394" s="46" t="s">
        <v>96</v>
      </c>
      <c r="E394" s="28" t="n">
        <v>3</v>
      </c>
      <c r="F394" s="47" t="n">
        <v>4</v>
      </c>
      <c r="G394" s="28" t="n">
        <v>0</v>
      </c>
      <c r="H394" s="28" t="n">
        <v>12</v>
      </c>
      <c r="I394" s="47" t="n">
        <f aca="false">E394*F394*(1-G394/100)*(1+H394/100)</f>
        <v>13.44</v>
      </c>
      <c r="J394" s="28" t="s">
        <v>34</v>
      </c>
      <c r="K394" s="28" t="s">
        <v>101</v>
      </c>
      <c r="L394" s="46" t="s">
        <v>86</v>
      </c>
      <c r="M394" s="47" t="n">
        <f aca="false">F394*(1-G394/100)-1.8</f>
        <v>2.2</v>
      </c>
      <c r="N394" s="47" t="n">
        <f aca="false">M394*E394</f>
        <v>6.6</v>
      </c>
    </row>
    <row r="395" customFormat="false" ht="16.5" hidden="false" customHeight="true" outlineLevel="0" collapsed="false">
      <c r="A395" s="42" t="n">
        <v>45694</v>
      </c>
      <c r="B395" s="24" t="s">
        <v>493</v>
      </c>
      <c r="C395" s="43" t="s">
        <v>124</v>
      </c>
      <c r="D395" s="43" t="s">
        <v>96</v>
      </c>
      <c r="E395" s="24" t="n">
        <v>5</v>
      </c>
      <c r="F395" s="44" t="n">
        <v>4</v>
      </c>
      <c r="G395" s="24" t="n">
        <v>0</v>
      </c>
      <c r="H395" s="24" t="n">
        <v>12</v>
      </c>
      <c r="I395" s="44" t="n">
        <f aca="false">E395*F395*(1-G395/100)*(1+H395/100)</f>
        <v>22.4</v>
      </c>
      <c r="J395" s="24" t="s">
        <v>34</v>
      </c>
      <c r="K395" s="24" t="s">
        <v>88</v>
      </c>
      <c r="L395" s="43" t="s">
        <v>83</v>
      </c>
      <c r="M395" s="44" t="n">
        <f aca="false">F395*(1-G395/100)-1.8</f>
        <v>2.2</v>
      </c>
      <c r="N395" s="44" t="n">
        <f aca="false">M395*E395</f>
        <v>11</v>
      </c>
    </row>
    <row r="396" customFormat="false" ht="16.5" hidden="false" customHeight="true" outlineLevel="0" collapsed="false">
      <c r="A396" s="45" t="n">
        <v>45694</v>
      </c>
      <c r="B396" s="28" t="s">
        <v>494</v>
      </c>
      <c r="C396" s="46" t="s">
        <v>29</v>
      </c>
      <c r="D396" s="46" t="s">
        <v>104</v>
      </c>
      <c r="E396" s="28" t="n">
        <v>3</v>
      </c>
      <c r="F396" s="47" t="n">
        <v>2.5</v>
      </c>
      <c r="G396" s="28" t="n">
        <v>10</v>
      </c>
      <c r="H396" s="28" t="n">
        <v>12</v>
      </c>
      <c r="I396" s="47" t="n">
        <f aca="false">E396*F396*(1-G396/100)*(1+H396/100)</f>
        <v>7.56</v>
      </c>
      <c r="J396" s="28" t="s">
        <v>32</v>
      </c>
      <c r="K396" s="28" t="s">
        <v>101</v>
      </c>
      <c r="L396" s="46" t="s">
        <v>91</v>
      </c>
      <c r="M396" s="47" t="n">
        <f aca="false">F396*(1-G396/100)-1.1</f>
        <v>1.15</v>
      </c>
      <c r="N396" s="47" t="n">
        <f aca="false">M396*E396</f>
        <v>3.45</v>
      </c>
    </row>
    <row r="397" customFormat="false" ht="16.5" hidden="false" customHeight="true" outlineLevel="0" collapsed="false">
      <c r="A397" s="42" t="n">
        <v>45694</v>
      </c>
      <c r="B397" s="24" t="s">
        <v>495</v>
      </c>
      <c r="C397" s="43" t="s">
        <v>109</v>
      </c>
      <c r="D397" s="43" t="s">
        <v>110</v>
      </c>
      <c r="E397" s="24" t="n">
        <v>4</v>
      </c>
      <c r="F397" s="44" t="n">
        <v>3.5</v>
      </c>
      <c r="G397" s="24" t="n">
        <v>0</v>
      </c>
      <c r="H397" s="24" t="n">
        <v>12</v>
      </c>
      <c r="I397" s="44" t="n">
        <f aca="false">E397*F397*(1-G397/100)*(1+H397/100)</f>
        <v>15.68</v>
      </c>
      <c r="J397" s="24" t="s">
        <v>34</v>
      </c>
      <c r="K397" s="24" t="s">
        <v>85</v>
      </c>
      <c r="L397" s="43" t="s">
        <v>86</v>
      </c>
      <c r="M397" s="44" t="n">
        <f aca="false">F397*(1-G397/100)-1.4</f>
        <v>2.1</v>
      </c>
      <c r="N397" s="44" t="n">
        <f aca="false">M397*E397</f>
        <v>8.4</v>
      </c>
    </row>
    <row r="398" customFormat="false" ht="16.5" hidden="false" customHeight="true" outlineLevel="0" collapsed="false">
      <c r="A398" s="45" t="n">
        <v>45694</v>
      </c>
      <c r="B398" s="28" t="s">
        <v>496</v>
      </c>
      <c r="C398" s="46" t="s">
        <v>93</v>
      </c>
      <c r="D398" s="46" t="s">
        <v>81</v>
      </c>
      <c r="E398" s="28" t="n">
        <v>2</v>
      </c>
      <c r="F398" s="47" t="n">
        <v>3</v>
      </c>
      <c r="G398" s="28" t="n">
        <v>10</v>
      </c>
      <c r="H398" s="28" t="n">
        <v>12</v>
      </c>
      <c r="I398" s="47" t="n">
        <f aca="false">E398*F398*(1-G398/100)*(1+H398/100)</f>
        <v>6.048</v>
      </c>
      <c r="J398" s="28" t="s">
        <v>32</v>
      </c>
      <c r="K398" s="28" t="s">
        <v>85</v>
      </c>
      <c r="L398" s="46" t="s">
        <v>89</v>
      </c>
      <c r="M398" s="47" t="n">
        <f aca="false">F398*(1-G398/100)-1.5</f>
        <v>1.2</v>
      </c>
      <c r="N398" s="47" t="n">
        <f aca="false">M398*E398</f>
        <v>2.4</v>
      </c>
    </row>
    <row r="399" customFormat="false" ht="16.5" hidden="false" customHeight="true" outlineLevel="0" collapsed="false">
      <c r="A399" s="42" t="n">
        <v>45694</v>
      </c>
      <c r="B399" s="24" t="s">
        <v>497</v>
      </c>
      <c r="C399" s="43" t="s">
        <v>25</v>
      </c>
      <c r="D399" s="43" t="s">
        <v>81</v>
      </c>
      <c r="E399" s="24" t="n">
        <v>5</v>
      </c>
      <c r="F399" s="44" t="n">
        <v>3.5</v>
      </c>
      <c r="G399" s="24" t="n">
        <v>5</v>
      </c>
      <c r="H399" s="24" t="n">
        <v>12</v>
      </c>
      <c r="I399" s="44" t="n">
        <f aca="false">E399*F399*(1-G399/100)*(1+H399/100)</f>
        <v>18.62</v>
      </c>
      <c r="J399" s="24" t="s">
        <v>28</v>
      </c>
      <c r="K399" s="24" t="s">
        <v>101</v>
      </c>
      <c r="L399" s="43" t="s">
        <v>94</v>
      </c>
      <c r="M399" s="44" t="n">
        <f aca="false">F399*(1-G399/100)-2.2</f>
        <v>1.125</v>
      </c>
      <c r="N399" s="44" t="n">
        <f aca="false">M399*E399</f>
        <v>5.625</v>
      </c>
    </row>
    <row r="400" customFormat="false" ht="16.5" hidden="false" customHeight="true" outlineLevel="0" collapsed="false">
      <c r="A400" s="45" t="n">
        <v>45694</v>
      </c>
      <c r="B400" s="28" t="s">
        <v>498</v>
      </c>
      <c r="C400" s="46" t="s">
        <v>35</v>
      </c>
      <c r="D400" s="46" t="s">
        <v>81</v>
      </c>
      <c r="E400" s="28" t="n">
        <v>1</v>
      </c>
      <c r="F400" s="47" t="n">
        <v>1.5</v>
      </c>
      <c r="G400" s="28" t="n">
        <v>0</v>
      </c>
      <c r="H400" s="28" t="n">
        <v>12</v>
      </c>
      <c r="I400" s="47" t="n">
        <f aca="false">E400*F400*(1-G400/100)*(1+H400/100)</f>
        <v>1.68</v>
      </c>
      <c r="J400" s="28" t="s">
        <v>34</v>
      </c>
      <c r="K400" s="28" t="s">
        <v>101</v>
      </c>
      <c r="L400" s="46" t="s">
        <v>86</v>
      </c>
      <c r="M400" s="47" t="n">
        <f aca="false">F400*(1-G400/100)-0.6</f>
        <v>0.9</v>
      </c>
      <c r="N400" s="47" t="n">
        <f aca="false">M400*E400</f>
        <v>0.9</v>
      </c>
    </row>
    <row r="401" customFormat="false" ht="16.5" hidden="false" customHeight="true" outlineLevel="0" collapsed="false">
      <c r="A401" s="42" t="n">
        <v>45694</v>
      </c>
      <c r="B401" s="24" t="s">
        <v>499</v>
      </c>
      <c r="C401" s="43" t="s">
        <v>113</v>
      </c>
      <c r="D401" s="43" t="s">
        <v>96</v>
      </c>
      <c r="E401" s="24" t="n">
        <v>3</v>
      </c>
      <c r="F401" s="44" t="n">
        <v>6</v>
      </c>
      <c r="G401" s="24" t="n">
        <v>0</v>
      </c>
      <c r="H401" s="24" t="n">
        <v>12</v>
      </c>
      <c r="I401" s="44" t="n">
        <f aca="false">E401*F401*(1-G401/100)*(1+H401/100)</f>
        <v>20.16</v>
      </c>
      <c r="J401" s="24" t="s">
        <v>34</v>
      </c>
      <c r="K401" s="24" t="s">
        <v>101</v>
      </c>
      <c r="L401" s="43" t="s">
        <v>98</v>
      </c>
      <c r="M401" s="44" t="n">
        <f aca="false">F401*(1-G401/100)-2.8</f>
        <v>3.2</v>
      </c>
      <c r="N401" s="44" t="n">
        <f aca="false">M401*E401</f>
        <v>9.6</v>
      </c>
    </row>
    <row r="402" customFormat="false" ht="16.5" hidden="false" customHeight="true" outlineLevel="0" collapsed="false">
      <c r="A402" s="45" t="n">
        <v>45694</v>
      </c>
      <c r="B402" s="28" t="s">
        <v>500</v>
      </c>
      <c r="C402" s="46" t="s">
        <v>93</v>
      </c>
      <c r="D402" s="46" t="s">
        <v>81</v>
      </c>
      <c r="E402" s="28" t="n">
        <v>1</v>
      </c>
      <c r="F402" s="47" t="n">
        <v>3</v>
      </c>
      <c r="G402" s="28" t="n">
        <v>0</v>
      </c>
      <c r="H402" s="28" t="n">
        <v>12</v>
      </c>
      <c r="I402" s="47" t="n">
        <f aca="false">E402*F402*(1-G402/100)*(1+H402/100)</f>
        <v>3.36</v>
      </c>
      <c r="J402" s="28" t="s">
        <v>32</v>
      </c>
      <c r="K402" s="28" t="s">
        <v>82</v>
      </c>
      <c r="L402" s="46" t="s">
        <v>83</v>
      </c>
      <c r="M402" s="47" t="n">
        <f aca="false">F402*(1-G402/100)-1.5</f>
        <v>1.5</v>
      </c>
      <c r="N402" s="47" t="n">
        <f aca="false">M402*E402</f>
        <v>1.5</v>
      </c>
    </row>
    <row r="403" customFormat="false" ht="16.5" hidden="false" customHeight="true" outlineLevel="0" collapsed="false">
      <c r="A403" s="42" t="n">
        <v>45694</v>
      </c>
      <c r="B403" s="24" t="s">
        <v>501</v>
      </c>
      <c r="C403" s="43" t="s">
        <v>113</v>
      </c>
      <c r="D403" s="43" t="s">
        <v>96</v>
      </c>
      <c r="E403" s="24" t="n">
        <v>3</v>
      </c>
      <c r="F403" s="44" t="n">
        <v>6</v>
      </c>
      <c r="G403" s="24" t="n">
        <v>5</v>
      </c>
      <c r="H403" s="24" t="n">
        <v>12</v>
      </c>
      <c r="I403" s="44" t="n">
        <f aca="false">E403*F403*(1-G403/100)*(1+H403/100)</f>
        <v>19.152</v>
      </c>
      <c r="J403" s="24" t="s">
        <v>32</v>
      </c>
      <c r="K403" s="24" t="s">
        <v>85</v>
      </c>
      <c r="L403" s="43" t="s">
        <v>94</v>
      </c>
      <c r="M403" s="44" t="n">
        <f aca="false">F403*(1-G403/100)-2.8</f>
        <v>2.9</v>
      </c>
      <c r="N403" s="44" t="n">
        <f aca="false">M403*E403</f>
        <v>8.7</v>
      </c>
    </row>
    <row r="404" customFormat="false" ht="16.5" hidden="false" customHeight="true" outlineLevel="0" collapsed="false">
      <c r="A404" s="45" t="n">
        <v>45694</v>
      </c>
      <c r="B404" s="28" t="s">
        <v>502</v>
      </c>
      <c r="C404" s="46" t="s">
        <v>27</v>
      </c>
      <c r="D404" s="46" t="s">
        <v>81</v>
      </c>
      <c r="E404" s="28" t="n">
        <v>5</v>
      </c>
      <c r="F404" s="47" t="n">
        <v>4.5</v>
      </c>
      <c r="G404" s="28" t="n">
        <v>0</v>
      </c>
      <c r="H404" s="28" t="n">
        <v>12</v>
      </c>
      <c r="I404" s="47" t="n">
        <f aca="false">E404*F404*(1-G404/100)*(1+H404/100)</f>
        <v>25.2</v>
      </c>
      <c r="J404" s="28" t="s">
        <v>28</v>
      </c>
      <c r="K404" s="28" t="s">
        <v>101</v>
      </c>
      <c r="L404" s="46" t="s">
        <v>83</v>
      </c>
      <c r="M404" s="47" t="n">
        <f aca="false">F404*(1-G404/100)-2.8</f>
        <v>1.7</v>
      </c>
      <c r="N404" s="47" t="n">
        <f aca="false">M404*E404</f>
        <v>8.5</v>
      </c>
    </row>
    <row r="405" customFormat="false" ht="16.5" hidden="false" customHeight="true" outlineLevel="0" collapsed="false">
      <c r="A405" s="42" t="n">
        <v>45694</v>
      </c>
      <c r="B405" s="24" t="s">
        <v>503</v>
      </c>
      <c r="C405" s="43" t="s">
        <v>124</v>
      </c>
      <c r="D405" s="43" t="s">
        <v>96</v>
      </c>
      <c r="E405" s="24" t="n">
        <v>4</v>
      </c>
      <c r="F405" s="44" t="n">
        <v>4</v>
      </c>
      <c r="G405" s="24" t="n">
        <v>10</v>
      </c>
      <c r="H405" s="24" t="n">
        <v>12</v>
      </c>
      <c r="I405" s="44" t="n">
        <f aca="false">E405*F405*(1-G405/100)*(1+H405/100)</f>
        <v>16.128</v>
      </c>
      <c r="J405" s="24" t="s">
        <v>26</v>
      </c>
      <c r="K405" s="24" t="s">
        <v>82</v>
      </c>
      <c r="L405" s="43" t="s">
        <v>86</v>
      </c>
      <c r="M405" s="44" t="n">
        <f aca="false">F405*(1-G405/100)-1.8</f>
        <v>1.8</v>
      </c>
      <c r="N405" s="44" t="n">
        <f aca="false">M405*E405</f>
        <v>7.2</v>
      </c>
    </row>
    <row r="406" customFormat="false" ht="16.5" hidden="false" customHeight="true" outlineLevel="0" collapsed="false">
      <c r="A406" s="45" t="n">
        <v>45695</v>
      </c>
      <c r="B406" s="28" t="s">
        <v>504</v>
      </c>
      <c r="C406" s="46" t="s">
        <v>35</v>
      </c>
      <c r="D406" s="46" t="s">
        <v>81</v>
      </c>
      <c r="E406" s="28" t="n">
        <v>4</v>
      </c>
      <c r="F406" s="47" t="n">
        <v>1.5</v>
      </c>
      <c r="G406" s="28" t="n">
        <v>10</v>
      </c>
      <c r="H406" s="28" t="n">
        <v>12</v>
      </c>
      <c r="I406" s="47" t="n">
        <f aca="false">E406*F406*(1-G406/100)*(1+H406/100)</f>
        <v>6.048</v>
      </c>
      <c r="J406" s="28" t="s">
        <v>32</v>
      </c>
      <c r="K406" s="28" t="s">
        <v>88</v>
      </c>
      <c r="L406" s="46" t="s">
        <v>94</v>
      </c>
      <c r="M406" s="47" t="n">
        <f aca="false">F406*(1-G406/100)-0.6</f>
        <v>0.75</v>
      </c>
      <c r="N406" s="47" t="n">
        <f aca="false">M406*E406</f>
        <v>3</v>
      </c>
    </row>
    <row r="407" customFormat="false" ht="16.5" hidden="false" customHeight="true" outlineLevel="0" collapsed="false">
      <c r="A407" s="42" t="n">
        <v>45695</v>
      </c>
      <c r="B407" s="24" t="s">
        <v>505</v>
      </c>
      <c r="C407" s="43" t="s">
        <v>33</v>
      </c>
      <c r="D407" s="43" t="s">
        <v>104</v>
      </c>
      <c r="E407" s="24" t="n">
        <v>2</v>
      </c>
      <c r="F407" s="44" t="n">
        <v>5</v>
      </c>
      <c r="G407" s="24" t="n">
        <v>5</v>
      </c>
      <c r="H407" s="24" t="n">
        <v>12</v>
      </c>
      <c r="I407" s="44" t="n">
        <f aca="false">E407*F407*(1-G407/100)*(1+H407/100)</f>
        <v>10.64</v>
      </c>
      <c r="J407" s="24" t="s">
        <v>28</v>
      </c>
      <c r="K407" s="24" t="s">
        <v>82</v>
      </c>
      <c r="L407" s="43" t="s">
        <v>122</v>
      </c>
      <c r="M407" s="44" t="n">
        <f aca="false">F407*(1-G407/100)-2.5</f>
        <v>2.25</v>
      </c>
      <c r="N407" s="44" t="n">
        <f aca="false">M407*E407</f>
        <v>4.5</v>
      </c>
    </row>
    <row r="408" customFormat="false" ht="16.5" hidden="false" customHeight="true" outlineLevel="0" collapsed="false">
      <c r="A408" s="45" t="n">
        <v>45695</v>
      </c>
      <c r="B408" s="28" t="s">
        <v>506</v>
      </c>
      <c r="C408" s="46" t="s">
        <v>33</v>
      </c>
      <c r="D408" s="46" t="s">
        <v>104</v>
      </c>
      <c r="E408" s="28" t="n">
        <v>1</v>
      </c>
      <c r="F408" s="47" t="n">
        <v>5</v>
      </c>
      <c r="G408" s="28" t="n">
        <v>0</v>
      </c>
      <c r="H408" s="28" t="n">
        <v>12</v>
      </c>
      <c r="I408" s="47" t="n">
        <f aca="false">E408*F408*(1-G408/100)*(1+H408/100)</f>
        <v>5.6</v>
      </c>
      <c r="J408" s="28" t="s">
        <v>32</v>
      </c>
      <c r="K408" s="28" t="s">
        <v>88</v>
      </c>
      <c r="L408" s="46" t="s">
        <v>86</v>
      </c>
      <c r="M408" s="47" t="n">
        <f aca="false">F408*(1-G408/100)-2.5</f>
        <v>2.5</v>
      </c>
      <c r="N408" s="47" t="n">
        <f aca="false">M408*E408</f>
        <v>2.5</v>
      </c>
    </row>
    <row r="409" customFormat="false" ht="16.5" hidden="false" customHeight="true" outlineLevel="0" collapsed="false">
      <c r="A409" s="42" t="n">
        <v>45695</v>
      </c>
      <c r="B409" s="24" t="s">
        <v>507</v>
      </c>
      <c r="C409" s="43" t="s">
        <v>33</v>
      </c>
      <c r="D409" s="43" t="s">
        <v>104</v>
      </c>
      <c r="E409" s="24" t="n">
        <v>2</v>
      </c>
      <c r="F409" s="44" t="n">
        <v>5</v>
      </c>
      <c r="G409" s="24" t="n">
        <v>0</v>
      </c>
      <c r="H409" s="24" t="n">
        <v>12</v>
      </c>
      <c r="I409" s="44" t="n">
        <f aca="false">E409*F409*(1-G409/100)*(1+H409/100)</f>
        <v>11.2</v>
      </c>
      <c r="J409" s="24" t="s">
        <v>24</v>
      </c>
      <c r="K409" s="24" t="s">
        <v>88</v>
      </c>
      <c r="L409" s="43" t="s">
        <v>86</v>
      </c>
      <c r="M409" s="44" t="n">
        <f aca="false">F409*(1-G409/100)-2.5</f>
        <v>2.5</v>
      </c>
      <c r="N409" s="44" t="n">
        <f aca="false">M409*E409</f>
        <v>5</v>
      </c>
    </row>
    <row r="410" customFormat="false" ht="16.5" hidden="false" customHeight="true" outlineLevel="0" collapsed="false">
      <c r="A410" s="45" t="n">
        <v>45695</v>
      </c>
      <c r="B410" s="28" t="s">
        <v>508</v>
      </c>
      <c r="C410" s="46" t="s">
        <v>93</v>
      </c>
      <c r="D410" s="46" t="s">
        <v>81</v>
      </c>
      <c r="E410" s="28" t="n">
        <v>5</v>
      </c>
      <c r="F410" s="47" t="n">
        <v>3</v>
      </c>
      <c r="G410" s="28" t="n">
        <v>0</v>
      </c>
      <c r="H410" s="28" t="n">
        <v>12</v>
      </c>
      <c r="I410" s="47" t="n">
        <f aca="false">E410*F410*(1-G410/100)*(1+H410/100)</f>
        <v>16.8</v>
      </c>
      <c r="J410" s="28" t="s">
        <v>26</v>
      </c>
      <c r="K410" s="28" t="s">
        <v>101</v>
      </c>
      <c r="L410" s="46" t="s">
        <v>94</v>
      </c>
      <c r="M410" s="47" t="n">
        <f aca="false">F410*(1-G410/100)-1.5</f>
        <v>1.5</v>
      </c>
      <c r="N410" s="47" t="n">
        <f aca="false">M410*E410</f>
        <v>7.5</v>
      </c>
    </row>
    <row r="411" customFormat="false" ht="16.5" hidden="false" customHeight="true" outlineLevel="0" collapsed="false">
      <c r="A411" s="42" t="n">
        <v>45696</v>
      </c>
      <c r="B411" s="24" t="s">
        <v>509</v>
      </c>
      <c r="C411" s="43" t="s">
        <v>33</v>
      </c>
      <c r="D411" s="43" t="s">
        <v>104</v>
      </c>
      <c r="E411" s="24" t="n">
        <v>5</v>
      </c>
      <c r="F411" s="44" t="n">
        <v>5</v>
      </c>
      <c r="G411" s="24" t="n">
        <v>0</v>
      </c>
      <c r="H411" s="24" t="n">
        <v>12</v>
      </c>
      <c r="I411" s="44" t="n">
        <f aca="false">E411*F411*(1-G411/100)*(1+H411/100)</f>
        <v>28</v>
      </c>
      <c r="J411" s="24" t="s">
        <v>24</v>
      </c>
      <c r="K411" s="24" t="s">
        <v>82</v>
      </c>
      <c r="L411" s="43" t="s">
        <v>117</v>
      </c>
      <c r="M411" s="44" t="n">
        <f aca="false">F411*(1-G411/100)-2.5</f>
        <v>2.5</v>
      </c>
      <c r="N411" s="44" t="n">
        <f aca="false">M411*E411</f>
        <v>12.5</v>
      </c>
    </row>
    <row r="412" customFormat="false" ht="16.5" hidden="false" customHeight="true" outlineLevel="0" collapsed="false">
      <c r="A412" s="45" t="n">
        <v>45696</v>
      </c>
      <c r="B412" s="28" t="s">
        <v>510</v>
      </c>
      <c r="C412" s="46" t="s">
        <v>35</v>
      </c>
      <c r="D412" s="46" t="s">
        <v>81</v>
      </c>
      <c r="E412" s="28" t="n">
        <v>2</v>
      </c>
      <c r="F412" s="47" t="n">
        <v>1.5</v>
      </c>
      <c r="G412" s="28" t="n">
        <v>10</v>
      </c>
      <c r="H412" s="28" t="n">
        <v>12</v>
      </c>
      <c r="I412" s="47" t="n">
        <f aca="false">E412*F412*(1-G412/100)*(1+H412/100)</f>
        <v>3.024</v>
      </c>
      <c r="J412" s="28" t="s">
        <v>28</v>
      </c>
      <c r="K412" s="28" t="s">
        <v>88</v>
      </c>
      <c r="L412" s="46" t="s">
        <v>89</v>
      </c>
      <c r="M412" s="47" t="n">
        <f aca="false">F412*(1-G412/100)-0.6</f>
        <v>0.75</v>
      </c>
      <c r="N412" s="47" t="n">
        <f aca="false">M412*E412</f>
        <v>1.5</v>
      </c>
    </row>
    <row r="413" customFormat="false" ht="16.5" hidden="false" customHeight="true" outlineLevel="0" collapsed="false">
      <c r="A413" s="42" t="n">
        <v>45696</v>
      </c>
      <c r="B413" s="24" t="s">
        <v>511</v>
      </c>
      <c r="C413" s="43" t="s">
        <v>36</v>
      </c>
      <c r="D413" s="43" t="s">
        <v>96</v>
      </c>
      <c r="E413" s="24" t="n">
        <v>2</v>
      </c>
      <c r="F413" s="44" t="n">
        <v>8.5</v>
      </c>
      <c r="G413" s="24" t="n">
        <v>0</v>
      </c>
      <c r="H413" s="24" t="n">
        <v>12</v>
      </c>
      <c r="I413" s="44" t="n">
        <f aca="false">E413*F413*(1-G413/100)*(1+H413/100)</f>
        <v>19.04</v>
      </c>
      <c r="J413" s="24" t="s">
        <v>26</v>
      </c>
      <c r="K413" s="24" t="s">
        <v>88</v>
      </c>
      <c r="L413" s="43" t="s">
        <v>91</v>
      </c>
      <c r="M413" s="44" t="n">
        <f aca="false">F413*(1-G413/100)-4.2</f>
        <v>4.3</v>
      </c>
      <c r="N413" s="44" t="n">
        <f aca="false">M413*E413</f>
        <v>8.6</v>
      </c>
    </row>
    <row r="414" customFormat="false" ht="16.5" hidden="false" customHeight="true" outlineLevel="0" collapsed="false">
      <c r="A414" s="45" t="n">
        <v>45696</v>
      </c>
      <c r="B414" s="28" t="s">
        <v>512</v>
      </c>
      <c r="C414" s="46" t="s">
        <v>113</v>
      </c>
      <c r="D414" s="46" t="s">
        <v>96</v>
      </c>
      <c r="E414" s="28" t="n">
        <v>3</v>
      </c>
      <c r="F414" s="47" t="n">
        <v>6</v>
      </c>
      <c r="G414" s="28" t="n">
        <v>0</v>
      </c>
      <c r="H414" s="28" t="n">
        <v>12</v>
      </c>
      <c r="I414" s="47" t="n">
        <f aca="false">E414*F414*(1-G414/100)*(1+H414/100)</f>
        <v>20.16</v>
      </c>
      <c r="J414" s="28" t="s">
        <v>24</v>
      </c>
      <c r="K414" s="28" t="s">
        <v>88</v>
      </c>
      <c r="L414" s="46" t="s">
        <v>89</v>
      </c>
      <c r="M414" s="47" t="n">
        <f aca="false">F414*(1-G414/100)-2.8</f>
        <v>3.2</v>
      </c>
      <c r="N414" s="47" t="n">
        <f aca="false">M414*E414</f>
        <v>9.6</v>
      </c>
    </row>
    <row r="415" customFormat="false" ht="16.5" hidden="false" customHeight="true" outlineLevel="0" collapsed="false">
      <c r="A415" s="42" t="n">
        <v>45696</v>
      </c>
      <c r="B415" s="24" t="s">
        <v>513</v>
      </c>
      <c r="C415" s="43" t="s">
        <v>29</v>
      </c>
      <c r="D415" s="43" t="s">
        <v>104</v>
      </c>
      <c r="E415" s="24" t="n">
        <v>4</v>
      </c>
      <c r="F415" s="44" t="n">
        <v>2.5</v>
      </c>
      <c r="G415" s="24" t="n">
        <v>10</v>
      </c>
      <c r="H415" s="24" t="n">
        <v>12</v>
      </c>
      <c r="I415" s="44" t="n">
        <f aca="false">E415*F415*(1-G415/100)*(1+H415/100)</f>
        <v>10.08</v>
      </c>
      <c r="J415" s="24" t="s">
        <v>32</v>
      </c>
      <c r="K415" s="24" t="s">
        <v>101</v>
      </c>
      <c r="L415" s="43" t="s">
        <v>106</v>
      </c>
      <c r="M415" s="44" t="n">
        <f aca="false">F415*(1-G415/100)-1.1</f>
        <v>1.15</v>
      </c>
      <c r="N415" s="44" t="n">
        <f aca="false">M415*E415</f>
        <v>4.6</v>
      </c>
    </row>
    <row r="416" customFormat="false" ht="16.5" hidden="false" customHeight="true" outlineLevel="0" collapsed="false">
      <c r="A416" s="45" t="n">
        <v>45696</v>
      </c>
      <c r="B416" s="28" t="s">
        <v>514</v>
      </c>
      <c r="C416" s="46" t="s">
        <v>113</v>
      </c>
      <c r="D416" s="46" t="s">
        <v>96</v>
      </c>
      <c r="E416" s="28" t="n">
        <v>5</v>
      </c>
      <c r="F416" s="47" t="n">
        <v>6</v>
      </c>
      <c r="G416" s="28" t="n">
        <v>0</v>
      </c>
      <c r="H416" s="28" t="n">
        <v>12</v>
      </c>
      <c r="I416" s="47" t="n">
        <f aca="false">E416*F416*(1-G416/100)*(1+H416/100)</f>
        <v>33.6</v>
      </c>
      <c r="J416" s="28" t="s">
        <v>32</v>
      </c>
      <c r="K416" s="28" t="s">
        <v>85</v>
      </c>
      <c r="L416" s="46" t="s">
        <v>83</v>
      </c>
      <c r="M416" s="47" t="n">
        <f aca="false">F416*(1-G416/100)-2.8</f>
        <v>3.2</v>
      </c>
      <c r="N416" s="47" t="n">
        <f aca="false">M416*E416</f>
        <v>16</v>
      </c>
    </row>
    <row r="417" customFormat="false" ht="16.5" hidden="false" customHeight="true" outlineLevel="0" collapsed="false">
      <c r="A417" s="42" t="n">
        <v>45696</v>
      </c>
      <c r="B417" s="24" t="s">
        <v>515</v>
      </c>
      <c r="C417" s="43" t="s">
        <v>35</v>
      </c>
      <c r="D417" s="43" t="s">
        <v>81</v>
      </c>
      <c r="E417" s="24" t="n">
        <v>4</v>
      </c>
      <c r="F417" s="44" t="n">
        <v>1.5</v>
      </c>
      <c r="G417" s="24" t="n">
        <v>0</v>
      </c>
      <c r="H417" s="24" t="n">
        <v>12</v>
      </c>
      <c r="I417" s="44" t="n">
        <f aca="false">E417*F417*(1-G417/100)*(1+H417/100)</f>
        <v>6.72</v>
      </c>
      <c r="J417" s="24" t="s">
        <v>34</v>
      </c>
      <c r="K417" s="24" t="s">
        <v>85</v>
      </c>
      <c r="L417" s="43" t="s">
        <v>91</v>
      </c>
      <c r="M417" s="44" t="n">
        <f aca="false">F417*(1-G417/100)-0.6</f>
        <v>0.9</v>
      </c>
      <c r="N417" s="44" t="n">
        <f aca="false">M417*E417</f>
        <v>3.6</v>
      </c>
    </row>
    <row r="418" customFormat="false" ht="16.5" hidden="false" customHeight="true" outlineLevel="0" collapsed="false">
      <c r="A418" s="45" t="n">
        <v>45696</v>
      </c>
      <c r="B418" s="28" t="s">
        <v>516</v>
      </c>
      <c r="C418" s="46" t="s">
        <v>33</v>
      </c>
      <c r="D418" s="46" t="s">
        <v>104</v>
      </c>
      <c r="E418" s="28" t="n">
        <v>3</v>
      </c>
      <c r="F418" s="47" t="n">
        <v>5</v>
      </c>
      <c r="G418" s="28" t="n">
        <v>0</v>
      </c>
      <c r="H418" s="28" t="n">
        <v>12</v>
      </c>
      <c r="I418" s="47" t="n">
        <f aca="false">E418*F418*(1-G418/100)*(1+H418/100)</f>
        <v>16.8</v>
      </c>
      <c r="J418" s="28" t="s">
        <v>32</v>
      </c>
      <c r="K418" s="28" t="s">
        <v>101</v>
      </c>
      <c r="L418" s="46" t="s">
        <v>117</v>
      </c>
      <c r="M418" s="47" t="n">
        <f aca="false">F418*(1-G418/100)-2.5</f>
        <v>2.5</v>
      </c>
      <c r="N418" s="47" t="n">
        <f aca="false">M418*E418</f>
        <v>7.5</v>
      </c>
    </row>
    <row r="419" customFormat="false" ht="16.5" hidden="false" customHeight="true" outlineLevel="0" collapsed="false">
      <c r="A419" s="42" t="n">
        <v>45696</v>
      </c>
      <c r="B419" s="24" t="s">
        <v>517</v>
      </c>
      <c r="C419" s="43" t="s">
        <v>113</v>
      </c>
      <c r="D419" s="43" t="s">
        <v>96</v>
      </c>
      <c r="E419" s="24" t="n">
        <v>4</v>
      </c>
      <c r="F419" s="44" t="n">
        <v>6</v>
      </c>
      <c r="G419" s="24" t="n">
        <v>10</v>
      </c>
      <c r="H419" s="24" t="n">
        <v>12</v>
      </c>
      <c r="I419" s="44" t="n">
        <f aca="false">E419*F419*(1-G419/100)*(1+H419/100)</f>
        <v>24.192</v>
      </c>
      <c r="J419" s="24" t="s">
        <v>34</v>
      </c>
      <c r="K419" s="24" t="s">
        <v>82</v>
      </c>
      <c r="L419" s="43" t="s">
        <v>94</v>
      </c>
      <c r="M419" s="44" t="n">
        <f aca="false">F419*(1-G419/100)-2.8</f>
        <v>2.6</v>
      </c>
      <c r="N419" s="44" t="n">
        <f aca="false">M419*E419</f>
        <v>10.4</v>
      </c>
    </row>
    <row r="420" customFormat="false" ht="16.5" hidden="false" customHeight="true" outlineLevel="0" collapsed="false">
      <c r="A420" s="45" t="n">
        <v>45696</v>
      </c>
      <c r="B420" s="28" t="s">
        <v>518</v>
      </c>
      <c r="C420" s="46" t="s">
        <v>33</v>
      </c>
      <c r="D420" s="46" t="s">
        <v>104</v>
      </c>
      <c r="E420" s="28" t="n">
        <v>3</v>
      </c>
      <c r="F420" s="47" t="n">
        <v>5</v>
      </c>
      <c r="G420" s="28" t="n">
        <v>0</v>
      </c>
      <c r="H420" s="28" t="n">
        <v>12</v>
      </c>
      <c r="I420" s="47" t="n">
        <f aca="false">E420*F420*(1-G420/100)*(1+H420/100)</f>
        <v>16.8</v>
      </c>
      <c r="J420" s="28" t="s">
        <v>28</v>
      </c>
      <c r="K420" s="28" t="s">
        <v>101</v>
      </c>
      <c r="L420" s="46" t="s">
        <v>111</v>
      </c>
      <c r="M420" s="47" t="n">
        <f aca="false">F420*(1-G420/100)-2.5</f>
        <v>2.5</v>
      </c>
      <c r="N420" s="47" t="n">
        <f aca="false">M420*E420</f>
        <v>7.5</v>
      </c>
    </row>
    <row r="421" customFormat="false" ht="16.5" hidden="false" customHeight="true" outlineLevel="0" collapsed="false">
      <c r="A421" s="42" t="n">
        <v>45696</v>
      </c>
      <c r="B421" s="24" t="s">
        <v>519</v>
      </c>
      <c r="C421" s="43" t="s">
        <v>36</v>
      </c>
      <c r="D421" s="43" t="s">
        <v>96</v>
      </c>
      <c r="E421" s="24" t="n">
        <v>1</v>
      </c>
      <c r="F421" s="44" t="n">
        <v>8.5</v>
      </c>
      <c r="G421" s="24" t="n">
        <v>10</v>
      </c>
      <c r="H421" s="24" t="n">
        <v>12</v>
      </c>
      <c r="I421" s="44" t="n">
        <f aca="false">E421*F421*(1-G421/100)*(1+H421/100)</f>
        <v>8.568</v>
      </c>
      <c r="J421" s="24" t="s">
        <v>26</v>
      </c>
      <c r="K421" s="24" t="s">
        <v>101</v>
      </c>
      <c r="L421" s="43" t="s">
        <v>122</v>
      </c>
      <c r="M421" s="44" t="n">
        <f aca="false">F421*(1-G421/100)-4.2</f>
        <v>3.45</v>
      </c>
      <c r="N421" s="44" t="n">
        <f aca="false">M421*E421</f>
        <v>3.45</v>
      </c>
    </row>
    <row r="422" customFormat="false" ht="16.5" hidden="false" customHeight="true" outlineLevel="0" collapsed="false">
      <c r="A422" s="45" t="n">
        <v>45696</v>
      </c>
      <c r="B422" s="28" t="s">
        <v>520</v>
      </c>
      <c r="C422" s="46" t="s">
        <v>113</v>
      </c>
      <c r="D422" s="46" t="s">
        <v>96</v>
      </c>
      <c r="E422" s="28" t="n">
        <v>5</v>
      </c>
      <c r="F422" s="47" t="n">
        <v>6</v>
      </c>
      <c r="G422" s="28" t="n">
        <v>10</v>
      </c>
      <c r="H422" s="28" t="n">
        <v>12</v>
      </c>
      <c r="I422" s="47" t="n">
        <f aca="false">E422*F422*(1-G422/100)*(1+H422/100)</f>
        <v>30.24</v>
      </c>
      <c r="J422" s="28" t="s">
        <v>24</v>
      </c>
      <c r="K422" s="28" t="s">
        <v>101</v>
      </c>
      <c r="L422" s="46" t="s">
        <v>91</v>
      </c>
      <c r="M422" s="47" t="n">
        <f aca="false">F422*(1-G422/100)-2.8</f>
        <v>2.6</v>
      </c>
      <c r="N422" s="47" t="n">
        <f aca="false">M422*E422</f>
        <v>13</v>
      </c>
    </row>
    <row r="423" customFormat="false" ht="16.5" hidden="false" customHeight="true" outlineLevel="0" collapsed="false">
      <c r="A423" s="42" t="n">
        <v>45697</v>
      </c>
      <c r="B423" s="24" t="s">
        <v>521</v>
      </c>
      <c r="C423" s="43" t="s">
        <v>124</v>
      </c>
      <c r="D423" s="43" t="s">
        <v>96</v>
      </c>
      <c r="E423" s="24" t="n">
        <v>2</v>
      </c>
      <c r="F423" s="44" t="n">
        <v>4</v>
      </c>
      <c r="G423" s="24" t="n">
        <v>5</v>
      </c>
      <c r="H423" s="24" t="n">
        <v>12</v>
      </c>
      <c r="I423" s="44" t="n">
        <f aca="false">E423*F423*(1-G423/100)*(1+H423/100)</f>
        <v>8.512</v>
      </c>
      <c r="J423" s="24" t="s">
        <v>26</v>
      </c>
      <c r="K423" s="24" t="s">
        <v>97</v>
      </c>
      <c r="L423" s="43" t="s">
        <v>122</v>
      </c>
      <c r="M423" s="44" t="n">
        <f aca="false">F423*(1-G423/100)-1.8</f>
        <v>2</v>
      </c>
      <c r="N423" s="44" t="n">
        <f aca="false">M423*E423</f>
        <v>4</v>
      </c>
    </row>
    <row r="424" customFormat="false" ht="16.5" hidden="false" customHeight="true" outlineLevel="0" collapsed="false">
      <c r="A424" s="45" t="n">
        <v>45697</v>
      </c>
      <c r="B424" s="28" t="s">
        <v>522</v>
      </c>
      <c r="C424" s="46" t="s">
        <v>25</v>
      </c>
      <c r="D424" s="46" t="s">
        <v>81</v>
      </c>
      <c r="E424" s="28" t="n">
        <v>2</v>
      </c>
      <c r="F424" s="47" t="n">
        <v>3.5</v>
      </c>
      <c r="G424" s="28" t="n">
        <v>0</v>
      </c>
      <c r="H424" s="28" t="n">
        <v>12</v>
      </c>
      <c r="I424" s="47" t="n">
        <f aca="false">E424*F424*(1-G424/100)*(1+H424/100)</f>
        <v>7.84</v>
      </c>
      <c r="J424" s="28" t="s">
        <v>24</v>
      </c>
      <c r="K424" s="28" t="s">
        <v>85</v>
      </c>
      <c r="L424" s="46" t="s">
        <v>91</v>
      </c>
      <c r="M424" s="47" t="n">
        <f aca="false">F424*(1-G424/100)-2.2</f>
        <v>1.3</v>
      </c>
      <c r="N424" s="47" t="n">
        <f aca="false">M424*E424</f>
        <v>2.6</v>
      </c>
    </row>
    <row r="425" customFormat="false" ht="16.5" hidden="false" customHeight="true" outlineLevel="0" collapsed="false">
      <c r="A425" s="42" t="n">
        <v>45697</v>
      </c>
      <c r="B425" s="24" t="s">
        <v>523</v>
      </c>
      <c r="C425" s="43" t="s">
        <v>109</v>
      </c>
      <c r="D425" s="43" t="s">
        <v>110</v>
      </c>
      <c r="E425" s="24" t="n">
        <v>2</v>
      </c>
      <c r="F425" s="44" t="n">
        <v>3.5</v>
      </c>
      <c r="G425" s="24" t="n">
        <v>5</v>
      </c>
      <c r="H425" s="24" t="n">
        <v>12</v>
      </c>
      <c r="I425" s="44" t="n">
        <f aca="false">E425*F425*(1-G425/100)*(1+H425/100)</f>
        <v>7.448</v>
      </c>
      <c r="J425" s="24" t="s">
        <v>26</v>
      </c>
      <c r="K425" s="24" t="s">
        <v>88</v>
      </c>
      <c r="L425" s="43" t="s">
        <v>106</v>
      </c>
      <c r="M425" s="44" t="n">
        <f aca="false">F425*(1-G425/100)-1.4</f>
        <v>1.925</v>
      </c>
      <c r="N425" s="44" t="n">
        <f aca="false">M425*E425</f>
        <v>3.85</v>
      </c>
    </row>
    <row r="426" customFormat="false" ht="16.5" hidden="false" customHeight="true" outlineLevel="0" collapsed="false">
      <c r="A426" s="45" t="n">
        <v>45697</v>
      </c>
      <c r="B426" s="28" t="s">
        <v>524</v>
      </c>
      <c r="C426" s="46" t="s">
        <v>35</v>
      </c>
      <c r="D426" s="46" t="s">
        <v>81</v>
      </c>
      <c r="E426" s="28" t="n">
        <v>4</v>
      </c>
      <c r="F426" s="47" t="n">
        <v>1.5</v>
      </c>
      <c r="G426" s="28" t="n">
        <v>5</v>
      </c>
      <c r="H426" s="28" t="n">
        <v>12</v>
      </c>
      <c r="I426" s="47" t="n">
        <f aca="false">E426*F426*(1-G426/100)*(1+H426/100)</f>
        <v>6.384</v>
      </c>
      <c r="J426" s="28" t="s">
        <v>34</v>
      </c>
      <c r="K426" s="28" t="s">
        <v>97</v>
      </c>
      <c r="L426" s="46" t="s">
        <v>122</v>
      </c>
      <c r="M426" s="47" t="n">
        <f aca="false">F426*(1-G426/100)-0.6</f>
        <v>0.825</v>
      </c>
      <c r="N426" s="47" t="n">
        <f aca="false">M426*E426</f>
        <v>3.3</v>
      </c>
    </row>
    <row r="427" customFormat="false" ht="16.5" hidden="false" customHeight="true" outlineLevel="0" collapsed="false">
      <c r="A427" s="42" t="n">
        <v>45697</v>
      </c>
      <c r="B427" s="24" t="s">
        <v>525</v>
      </c>
      <c r="C427" s="43" t="s">
        <v>35</v>
      </c>
      <c r="D427" s="43" t="s">
        <v>81</v>
      </c>
      <c r="E427" s="24" t="n">
        <v>3</v>
      </c>
      <c r="F427" s="44" t="n">
        <v>1.5</v>
      </c>
      <c r="G427" s="24" t="n">
        <v>10</v>
      </c>
      <c r="H427" s="24" t="n">
        <v>12</v>
      </c>
      <c r="I427" s="44" t="n">
        <f aca="false">E427*F427*(1-G427/100)*(1+H427/100)</f>
        <v>4.536</v>
      </c>
      <c r="J427" s="24" t="s">
        <v>32</v>
      </c>
      <c r="K427" s="24" t="s">
        <v>85</v>
      </c>
      <c r="L427" s="43" t="s">
        <v>98</v>
      </c>
      <c r="M427" s="44" t="n">
        <f aca="false">F427*(1-G427/100)-0.6</f>
        <v>0.75</v>
      </c>
      <c r="N427" s="44" t="n">
        <f aca="false">M427*E427</f>
        <v>2.25</v>
      </c>
    </row>
    <row r="428" customFormat="false" ht="16.5" hidden="false" customHeight="true" outlineLevel="0" collapsed="false">
      <c r="A428" s="45" t="n">
        <v>45697</v>
      </c>
      <c r="B428" s="28" t="s">
        <v>526</v>
      </c>
      <c r="C428" s="46" t="s">
        <v>93</v>
      </c>
      <c r="D428" s="46" t="s">
        <v>81</v>
      </c>
      <c r="E428" s="28" t="n">
        <v>3</v>
      </c>
      <c r="F428" s="47" t="n">
        <v>3</v>
      </c>
      <c r="G428" s="28" t="n">
        <v>0</v>
      </c>
      <c r="H428" s="28" t="n">
        <v>12</v>
      </c>
      <c r="I428" s="47" t="n">
        <f aca="false">E428*F428*(1-G428/100)*(1+H428/100)</f>
        <v>10.08</v>
      </c>
      <c r="J428" s="28" t="s">
        <v>28</v>
      </c>
      <c r="K428" s="28" t="s">
        <v>97</v>
      </c>
      <c r="L428" s="46" t="s">
        <v>94</v>
      </c>
      <c r="M428" s="47" t="n">
        <f aca="false">F428*(1-G428/100)-1.5</f>
        <v>1.5</v>
      </c>
      <c r="N428" s="47" t="n">
        <f aca="false">M428*E428</f>
        <v>4.5</v>
      </c>
    </row>
    <row r="429" customFormat="false" ht="16.5" hidden="false" customHeight="true" outlineLevel="0" collapsed="false">
      <c r="A429" s="42" t="n">
        <v>45697</v>
      </c>
      <c r="B429" s="24" t="s">
        <v>527</v>
      </c>
      <c r="C429" s="43" t="s">
        <v>25</v>
      </c>
      <c r="D429" s="43" t="s">
        <v>81</v>
      </c>
      <c r="E429" s="24" t="n">
        <v>5</v>
      </c>
      <c r="F429" s="44" t="n">
        <v>3.5</v>
      </c>
      <c r="G429" s="24" t="n">
        <v>0</v>
      </c>
      <c r="H429" s="24" t="n">
        <v>12</v>
      </c>
      <c r="I429" s="44" t="n">
        <f aca="false">E429*F429*(1-G429/100)*(1+H429/100)</f>
        <v>19.6</v>
      </c>
      <c r="J429" s="24" t="s">
        <v>26</v>
      </c>
      <c r="K429" s="24" t="s">
        <v>101</v>
      </c>
      <c r="L429" s="43" t="s">
        <v>122</v>
      </c>
      <c r="M429" s="44" t="n">
        <f aca="false">F429*(1-G429/100)-2.2</f>
        <v>1.3</v>
      </c>
      <c r="N429" s="44" t="n">
        <f aca="false">M429*E429</f>
        <v>6.5</v>
      </c>
    </row>
    <row r="430" customFormat="false" ht="16.5" hidden="false" customHeight="true" outlineLevel="0" collapsed="false">
      <c r="A430" s="45" t="n">
        <v>45697</v>
      </c>
      <c r="B430" s="28" t="s">
        <v>528</v>
      </c>
      <c r="C430" s="46" t="s">
        <v>124</v>
      </c>
      <c r="D430" s="46" t="s">
        <v>96</v>
      </c>
      <c r="E430" s="28" t="n">
        <v>5</v>
      </c>
      <c r="F430" s="47" t="n">
        <v>4</v>
      </c>
      <c r="G430" s="28" t="n">
        <v>10</v>
      </c>
      <c r="H430" s="28" t="n">
        <v>12</v>
      </c>
      <c r="I430" s="47" t="n">
        <f aca="false">E430*F430*(1-G430/100)*(1+H430/100)</f>
        <v>20.16</v>
      </c>
      <c r="J430" s="28" t="s">
        <v>32</v>
      </c>
      <c r="K430" s="28" t="s">
        <v>97</v>
      </c>
      <c r="L430" s="46" t="s">
        <v>83</v>
      </c>
      <c r="M430" s="47" t="n">
        <f aca="false">F430*(1-G430/100)-1.8</f>
        <v>1.8</v>
      </c>
      <c r="N430" s="47" t="n">
        <f aca="false">M430*E430</f>
        <v>9</v>
      </c>
    </row>
    <row r="431" customFormat="false" ht="16.5" hidden="false" customHeight="true" outlineLevel="0" collapsed="false">
      <c r="A431" s="42" t="n">
        <v>45697</v>
      </c>
      <c r="B431" s="24" t="s">
        <v>529</v>
      </c>
      <c r="C431" s="43" t="s">
        <v>33</v>
      </c>
      <c r="D431" s="43" t="s">
        <v>104</v>
      </c>
      <c r="E431" s="24" t="n">
        <v>3</v>
      </c>
      <c r="F431" s="44" t="n">
        <v>5</v>
      </c>
      <c r="G431" s="24" t="n">
        <v>0</v>
      </c>
      <c r="H431" s="24" t="n">
        <v>12</v>
      </c>
      <c r="I431" s="44" t="n">
        <f aca="false">E431*F431*(1-G431/100)*(1+H431/100)</f>
        <v>16.8</v>
      </c>
      <c r="J431" s="24" t="s">
        <v>32</v>
      </c>
      <c r="K431" s="24" t="s">
        <v>88</v>
      </c>
      <c r="L431" s="43" t="s">
        <v>91</v>
      </c>
      <c r="M431" s="44" t="n">
        <f aca="false">F431*(1-G431/100)-2.5</f>
        <v>2.5</v>
      </c>
      <c r="N431" s="44" t="n">
        <f aca="false">M431*E431</f>
        <v>7.5</v>
      </c>
    </row>
    <row r="432" customFormat="false" ht="16.5" hidden="false" customHeight="true" outlineLevel="0" collapsed="false">
      <c r="A432" s="45" t="n">
        <v>45697</v>
      </c>
      <c r="B432" s="28" t="s">
        <v>530</v>
      </c>
      <c r="C432" s="46" t="s">
        <v>93</v>
      </c>
      <c r="D432" s="46" t="s">
        <v>81</v>
      </c>
      <c r="E432" s="28" t="n">
        <v>5</v>
      </c>
      <c r="F432" s="47" t="n">
        <v>3</v>
      </c>
      <c r="G432" s="28" t="n">
        <v>0</v>
      </c>
      <c r="H432" s="28" t="n">
        <v>12</v>
      </c>
      <c r="I432" s="47" t="n">
        <f aca="false">E432*F432*(1-G432/100)*(1+H432/100)</f>
        <v>16.8</v>
      </c>
      <c r="J432" s="28" t="s">
        <v>28</v>
      </c>
      <c r="K432" s="28" t="s">
        <v>85</v>
      </c>
      <c r="L432" s="46" t="s">
        <v>111</v>
      </c>
      <c r="M432" s="47" t="n">
        <f aca="false">F432*(1-G432/100)-1.5</f>
        <v>1.5</v>
      </c>
      <c r="N432" s="47" t="n">
        <f aca="false">M432*E432</f>
        <v>7.5</v>
      </c>
    </row>
    <row r="433" customFormat="false" ht="16.5" hidden="false" customHeight="true" outlineLevel="0" collapsed="false">
      <c r="A433" s="42" t="n">
        <v>45697</v>
      </c>
      <c r="B433" s="24" t="s">
        <v>531</v>
      </c>
      <c r="C433" s="43" t="s">
        <v>93</v>
      </c>
      <c r="D433" s="43" t="s">
        <v>81</v>
      </c>
      <c r="E433" s="24" t="n">
        <v>2</v>
      </c>
      <c r="F433" s="44" t="n">
        <v>3</v>
      </c>
      <c r="G433" s="24" t="n">
        <v>0</v>
      </c>
      <c r="H433" s="24" t="n">
        <v>12</v>
      </c>
      <c r="I433" s="44" t="n">
        <f aca="false">E433*F433*(1-G433/100)*(1+H433/100)</f>
        <v>6.72</v>
      </c>
      <c r="J433" s="24" t="s">
        <v>26</v>
      </c>
      <c r="K433" s="24" t="s">
        <v>82</v>
      </c>
      <c r="L433" s="43" t="s">
        <v>117</v>
      </c>
      <c r="M433" s="44" t="n">
        <f aca="false">F433*(1-G433/100)-1.5</f>
        <v>1.5</v>
      </c>
      <c r="N433" s="44" t="n">
        <f aca="false">M433*E433</f>
        <v>3</v>
      </c>
    </row>
    <row r="434" customFormat="false" ht="16.5" hidden="false" customHeight="true" outlineLevel="0" collapsed="false">
      <c r="A434" s="45" t="n">
        <v>45697</v>
      </c>
      <c r="B434" s="28" t="s">
        <v>532</v>
      </c>
      <c r="C434" s="46" t="s">
        <v>93</v>
      </c>
      <c r="D434" s="46" t="s">
        <v>81</v>
      </c>
      <c r="E434" s="28" t="n">
        <v>2</v>
      </c>
      <c r="F434" s="47" t="n">
        <v>3</v>
      </c>
      <c r="G434" s="28" t="n">
        <v>10</v>
      </c>
      <c r="H434" s="28" t="n">
        <v>12</v>
      </c>
      <c r="I434" s="47" t="n">
        <f aca="false">E434*F434*(1-G434/100)*(1+H434/100)</f>
        <v>6.048</v>
      </c>
      <c r="J434" s="28" t="s">
        <v>24</v>
      </c>
      <c r="K434" s="28" t="s">
        <v>88</v>
      </c>
      <c r="L434" s="46" t="s">
        <v>86</v>
      </c>
      <c r="M434" s="47" t="n">
        <f aca="false">F434*(1-G434/100)-1.5</f>
        <v>1.2</v>
      </c>
      <c r="N434" s="47" t="n">
        <f aca="false">M434*E434</f>
        <v>2.4</v>
      </c>
    </row>
    <row r="435" customFormat="false" ht="16.5" hidden="false" customHeight="true" outlineLevel="0" collapsed="false">
      <c r="A435" s="42" t="n">
        <v>45697</v>
      </c>
      <c r="B435" s="24" t="s">
        <v>533</v>
      </c>
      <c r="C435" s="43" t="s">
        <v>27</v>
      </c>
      <c r="D435" s="43" t="s">
        <v>81</v>
      </c>
      <c r="E435" s="24" t="n">
        <v>1</v>
      </c>
      <c r="F435" s="44" t="n">
        <v>4.5</v>
      </c>
      <c r="G435" s="24" t="n">
        <v>0</v>
      </c>
      <c r="H435" s="24" t="n">
        <v>12</v>
      </c>
      <c r="I435" s="44" t="n">
        <f aca="false">E435*F435*(1-G435/100)*(1+H435/100)</f>
        <v>5.04</v>
      </c>
      <c r="J435" s="24" t="s">
        <v>32</v>
      </c>
      <c r="K435" s="24" t="s">
        <v>82</v>
      </c>
      <c r="L435" s="43" t="s">
        <v>91</v>
      </c>
      <c r="M435" s="44" t="n">
        <f aca="false">F435*(1-G435/100)-2.8</f>
        <v>1.7</v>
      </c>
      <c r="N435" s="44" t="n">
        <f aca="false">M435*E435</f>
        <v>1.7</v>
      </c>
    </row>
    <row r="436" customFormat="false" ht="16.5" hidden="false" customHeight="true" outlineLevel="0" collapsed="false">
      <c r="A436" s="45" t="n">
        <v>45697</v>
      </c>
      <c r="B436" s="28" t="s">
        <v>534</v>
      </c>
      <c r="C436" s="46" t="s">
        <v>27</v>
      </c>
      <c r="D436" s="46" t="s">
        <v>81</v>
      </c>
      <c r="E436" s="28" t="n">
        <v>2</v>
      </c>
      <c r="F436" s="47" t="n">
        <v>4.5</v>
      </c>
      <c r="G436" s="28" t="n">
        <v>0</v>
      </c>
      <c r="H436" s="28" t="n">
        <v>12</v>
      </c>
      <c r="I436" s="47" t="n">
        <f aca="false">E436*F436*(1-G436/100)*(1+H436/100)</f>
        <v>10.08</v>
      </c>
      <c r="J436" s="28" t="s">
        <v>26</v>
      </c>
      <c r="K436" s="28" t="s">
        <v>88</v>
      </c>
      <c r="L436" s="46" t="s">
        <v>111</v>
      </c>
      <c r="M436" s="47" t="n">
        <f aca="false">F436*(1-G436/100)-2.8</f>
        <v>1.7</v>
      </c>
      <c r="N436" s="47" t="n">
        <f aca="false">M436*E436</f>
        <v>3.4</v>
      </c>
    </row>
    <row r="437" customFormat="false" ht="16.5" hidden="false" customHeight="true" outlineLevel="0" collapsed="false">
      <c r="A437" s="42" t="n">
        <v>45698</v>
      </c>
      <c r="B437" s="24" t="s">
        <v>535</v>
      </c>
      <c r="C437" s="43" t="s">
        <v>25</v>
      </c>
      <c r="D437" s="43" t="s">
        <v>81</v>
      </c>
      <c r="E437" s="24" t="n">
        <v>5</v>
      </c>
      <c r="F437" s="44" t="n">
        <v>3.5</v>
      </c>
      <c r="G437" s="24" t="n">
        <v>10</v>
      </c>
      <c r="H437" s="24" t="n">
        <v>12</v>
      </c>
      <c r="I437" s="44" t="n">
        <f aca="false">E437*F437*(1-G437/100)*(1+H437/100)</f>
        <v>17.64</v>
      </c>
      <c r="J437" s="24" t="s">
        <v>32</v>
      </c>
      <c r="K437" s="24" t="s">
        <v>85</v>
      </c>
      <c r="L437" s="43" t="s">
        <v>86</v>
      </c>
      <c r="M437" s="44" t="n">
        <f aca="false">F437*(1-G437/100)-2.2</f>
        <v>0.95</v>
      </c>
      <c r="N437" s="44" t="n">
        <f aca="false">M437*E437</f>
        <v>4.75</v>
      </c>
    </row>
    <row r="438" customFormat="false" ht="16.5" hidden="false" customHeight="true" outlineLevel="0" collapsed="false">
      <c r="A438" s="45" t="n">
        <v>45698</v>
      </c>
      <c r="B438" s="28" t="s">
        <v>536</v>
      </c>
      <c r="C438" s="46" t="s">
        <v>25</v>
      </c>
      <c r="D438" s="46" t="s">
        <v>81</v>
      </c>
      <c r="E438" s="28" t="n">
        <v>5</v>
      </c>
      <c r="F438" s="47" t="n">
        <v>3.5</v>
      </c>
      <c r="G438" s="28" t="n">
        <v>10</v>
      </c>
      <c r="H438" s="28" t="n">
        <v>12</v>
      </c>
      <c r="I438" s="47" t="n">
        <f aca="false">E438*F438*(1-G438/100)*(1+H438/100)</f>
        <v>17.64</v>
      </c>
      <c r="J438" s="28" t="s">
        <v>32</v>
      </c>
      <c r="K438" s="28" t="s">
        <v>101</v>
      </c>
      <c r="L438" s="46" t="s">
        <v>86</v>
      </c>
      <c r="M438" s="47" t="n">
        <f aca="false">F438*(1-G438/100)-2.2</f>
        <v>0.95</v>
      </c>
      <c r="N438" s="47" t="n">
        <f aca="false">M438*E438</f>
        <v>4.75</v>
      </c>
    </row>
    <row r="439" customFormat="false" ht="16.5" hidden="false" customHeight="true" outlineLevel="0" collapsed="false">
      <c r="A439" s="42" t="n">
        <v>45698</v>
      </c>
      <c r="B439" s="24" t="s">
        <v>537</v>
      </c>
      <c r="C439" s="43" t="s">
        <v>124</v>
      </c>
      <c r="D439" s="43" t="s">
        <v>96</v>
      </c>
      <c r="E439" s="24" t="n">
        <v>3</v>
      </c>
      <c r="F439" s="44" t="n">
        <v>4</v>
      </c>
      <c r="G439" s="24" t="n">
        <v>10</v>
      </c>
      <c r="H439" s="24" t="n">
        <v>12</v>
      </c>
      <c r="I439" s="44" t="n">
        <f aca="false">E439*F439*(1-G439/100)*(1+H439/100)</f>
        <v>12.096</v>
      </c>
      <c r="J439" s="24" t="s">
        <v>28</v>
      </c>
      <c r="K439" s="24" t="s">
        <v>101</v>
      </c>
      <c r="L439" s="43" t="s">
        <v>117</v>
      </c>
      <c r="M439" s="44" t="n">
        <f aca="false">F439*(1-G439/100)-1.8</f>
        <v>1.8</v>
      </c>
      <c r="N439" s="44" t="n">
        <f aca="false">M439*E439</f>
        <v>5.4</v>
      </c>
    </row>
    <row r="440" customFormat="false" ht="16.5" hidden="false" customHeight="true" outlineLevel="0" collapsed="false">
      <c r="A440" s="45" t="n">
        <v>45698</v>
      </c>
      <c r="B440" s="28" t="s">
        <v>538</v>
      </c>
      <c r="C440" s="46" t="s">
        <v>113</v>
      </c>
      <c r="D440" s="46" t="s">
        <v>96</v>
      </c>
      <c r="E440" s="28" t="n">
        <v>2</v>
      </c>
      <c r="F440" s="47" t="n">
        <v>6</v>
      </c>
      <c r="G440" s="28" t="n">
        <v>0</v>
      </c>
      <c r="H440" s="28" t="n">
        <v>12</v>
      </c>
      <c r="I440" s="47" t="n">
        <f aca="false">E440*F440*(1-G440/100)*(1+H440/100)</f>
        <v>13.44</v>
      </c>
      <c r="J440" s="28" t="s">
        <v>24</v>
      </c>
      <c r="K440" s="28" t="s">
        <v>88</v>
      </c>
      <c r="L440" s="46" t="s">
        <v>83</v>
      </c>
      <c r="M440" s="47" t="n">
        <f aca="false">F440*(1-G440/100)-2.8</f>
        <v>3.2</v>
      </c>
      <c r="N440" s="47" t="n">
        <f aca="false">M440*E440</f>
        <v>6.4</v>
      </c>
    </row>
    <row r="441" customFormat="false" ht="16.5" hidden="false" customHeight="true" outlineLevel="0" collapsed="false">
      <c r="A441" s="42" t="n">
        <v>45698</v>
      </c>
      <c r="B441" s="24" t="s">
        <v>539</v>
      </c>
      <c r="C441" s="43" t="s">
        <v>33</v>
      </c>
      <c r="D441" s="43" t="s">
        <v>104</v>
      </c>
      <c r="E441" s="24" t="n">
        <v>2</v>
      </c>
      <c r="F441" s="44" t="n">
        <v>5</v>
      </c>
      <c r="G441" s="24" t="n">
        <v>10</v>
      </c>
      <c r="H441" s="24" t="n">
        <v>12</v>
      </c>
      <c r="I441" s="44" t="n">
        <f aca="false">E441*F441*(1-G441/100)*(1+H441/100)</f>
        <v>10.08</v>
      </c>
      <c r="J441" s="24" t="s">
        <v>34</v>
      </c>
      <c r="K441" s="24" t="s">
        <v>97</v>
      </c>
      <c r="L441" s="43" t="s">
        <v>106</v>
      </c>
      <c r="M441" s="44" t="n">
        <f aca="false">F441*(1-G441/100)-2.5</f>
        <v>2</v>
      </c>
      <c r="N441" s="44" t="n">
        <f aca="false">M441*E441</f>
        <v>4</v>
      </c>
    </row>
    <row r="442" customFormat="false" ht="16.5" hidden="false" customHeight="true" outlineLevel="0" collapsed="false">
      <c r="A442" s="45" t="n">
        <v>45698</v>
      </c>
      <c r="B442" s="28" t="s">
        <v>540</v>
      </c>
      <c r="C442" s="46" t="s">
        <v>35</v>
      </c>
      <c r="D442" s="46" t="s">
        <v>81</v>
      </c>
      <c r="E442" s="28" t="n">
        <v>4</v>
      </c>
      <c r="F442" s="47" t="n">
        <v>1.5</v>
      </c>
      <c r="G442" s="28" t="n">
        <v>0</v>
      </c>
      <c r="H442" s="28" t="n">
        <v>12</v>
      </c>
      <c r="I442" s="47" t="n">
        <f aca="false">E442*F442*(1-G442/100)*(1+H442/100)</f>
        <v>6.72</v>
      </c>
      <c r="J442" s="28" t="s">
        <v>28</v>
      </c>
      <c r="K442" s="28" t="s">
        <v>85</v>
      </c>
      <c r="L442" s="46" t="s">
        <v>111</v>
      </c>
      <c r="M442" s="47" t="n">
        <f aca="false">F442*(1-G442/100)-0.6</f>
        <v>0.9</v>
      </c>
      <c r="N442" s="47" t="n">
        <f aca="false">M442*E442</f>
        <v>3.6</v>
      </c>
    </row>
    <row r="443" customFormat="false" ht="16.5" hidden="false" customHeight="true" outlineLevel="0" collapsed="false">
      <c r="A443" s="42" t="n">
        <v>45698</v>
      </c>
      <c r="B443" s="24" t="s">
        <v>541</v>
      </c>
      <c r="C443" s="43" t="s">
        <v>109</v>
      </c>
      <c r="D443" s="43" t="s">
        <v>110</v>
      </c>
      <c r="E443" s="24" t="n">
        <v>2</v>
      </c>
      <c r="F443" s="44" t="n">
        <v>3.5</v>
      </c>
      <c r="G443" s="24" t="n">
        <v>0</v>
      </c>
      <c r="H443" s="24" t="n">
        <v>12</v>
      </c>
      <c r="I443" s="44" t="n">
        <f aca="false">E443*F443*(1-G443/100)*(1+H443/100)</f>
        <v>7.84</v>
      </c>
      <c r="J443" s="24" t="s">
        <v>28</v>
      </c>
      <c r="K443" s="24" t="s">
        <v>101</v>
      </c>
      <c r="L443" s="43" t="s">
        <v>86</v>
      </c>
      <c r="M443" s="44" t="n">
        <f aca="false">F443*(1-G443/100)-1.4</f>
        <v>2.1</v>
      </c>
      <c r="N443" s="44" t="n">
        <f aca="false">M443*E443</f>
        <v>4.2</v>
      </c>
    </row>
    <row r="444" customFormat="false" ht="16.5" hidden="false" customHeight="true" outlineLevel="0" collapsed="false">
      <c r="A444" s="45" t="n">
        <v>45698</v>
      </c>
      <c r="B444" s="28" t="s">
        <v>542</v>
      </c>
      <c r="C444" s="46" t="s">
        <v>27</v>
      </c>
      <c r="D444" s="46" t="s">
        <v>81</v>
      </c>
      <c r="E444" s="28" t="n">
        <v>4</v>
      </c>
      <c r="F444" s="47" t="n">
        <v>4.5</v>
      </c>
      <c r="G444" s="28" t="n">
        <v>5</v>
      </c>
      <c r="H444" s="28" t="n">
        <v>12</v>
      </c>
      <c r="I444" s="47" t="n">
        <f aca="false">E444*F444*(1-G444/100)*(1+H444/100)</f>
        <v>19.152</v>
      </c>
      <c r="J444" s="28" t="s">
        <v>32</v>
      </c>
      <c r="K444" s="28" t="s">
        <v>88</v>
      </c>
      <c r="L444" s="46" t="s">
        <v>111</v>
      </c>
      <c r="M444" s="47" t="n">
        <f aca="false">F444*(1-G444/100)-2.8</f>
        <v>1.475</v>
      </c>
      <c r="N444" s="47" t="n">
        <f aca="false">M444*E444</f>
        <v>5.9</v>
      </c>
    </row>
    <row r="445" customFormat="false" ht="16.5" hidden="false" customHeight="true" outlineLevel="0" collapsed="false">
      <c r="A445" s="42" t="n">
        <v>45698</v>
      </c>
      <c r="B445" s="24" t="s">
        <v>543</v>
      </c>
      <c r="C445" s="43" t="s">
        <v>25</v>
      </c>
      <c r="D445" s="43" t="s">
        <v>81</v>
      </c>
      <c r="E445" s="24" t="n">
        <v>1</v>
      </c>
      <c r="F445" s="44" t="n">
        <v>3.5</v>
      </c>
      <c r="G445" s="24" t="n">
        <v>0</v>
      </c>
      <c r="H445" s="24" t="n">
        <v>12</v>
      </c>
      <c r="I445" s="44" t="n">
        <f aca="false">E445*F445*(1-G445/100)*(1+H445/100)</f>
        <v>3.92</v>
      </c>
      <c r="J445" s="24" t="s">
        <v>24</v>
      </c>
      <c r="K445" s="24" t="s">
        <v>85</v>
      </c>
      <c r="L445" s="43" t="s">
        <v>94</v>
      </c>
      <c r="M445" s="44" t="n">
        <f aca="false">F445*(1-G445/100)-2.2</f>
        <v>1.3</v>
      </c>
      <c r="N445" s="44" t="n">
        <f aca="false">M445*E445</f>
        <v>1.3</v>
      </c>
    </row>
    <row r="446" customFormat="false" ht="16.5" hidden="false" customHeight="true" outlineLevel="0" collapsed="false">
      <c r="A446" s="45" t="n">
        <v>45698</v>
      </c>
      <c r="B446" s="28" t="s">
        <v>544</v>
      </c>
      <c r="C446" s="46" t="s">
        <v>36</v>
      </c>
      <c r="D446" s="46" t="s">
        <v>96</v>
      </c>
      <c r="E446" s="28" t="n">
        <v>5</v>
      </c>
      <c r="F446" s="47" t="n">
        <v>8.5</v>
      </c>
      <c r="G446" s="28" t="n">
        <v>0</v>
      </c>
      <c r="H446" s="28" t="n">
        <v>12</v>
      </c>
      <c r="I446" s="47" t="n">
        <f aca="false">E446*F446*(1-G446/100)*(1+H446/100)</f>
        <v>47.6</v>
      </c>
      <c r="J446" s="28" t="s">
        <v>34</v>
      </c>
      <c r="K446" s="28" t="s">
        <v>101</v>
      </c>
      <c r="L446" s="46" t="s">
        <v>91</v>
      </c>
      <c r="M446" s="47" t="n">
        <f aca="false">F446*(1-G446/100)-4.2</f>
        <v>4.3</v>
      </c>
      <c r="N446" s="47" t="n">
        <f aca="false">M446*E446</f>
        <v>21.5</v>
      </c>
    </row>
    <row r="447" customFormat="false" ht="16.5" hidden="false" customHeight="true" outlineLevel="0" collapsed="false">
      <c r="A447" s="42" t="n">
        <v>45699</v>
      </c>
      <c r="B447" s="24" t="s">
        <v>545</v>
      </c>
      <c r="C447" s="43" t="s">
        <v>109</v>
      </c>
      <c r="D447" s="43" t="s">
        <v>110</v>
      </c>
      <c r="E447" s="24" t="n">
        <v>4</v>
      </c>
      <c r="F447" s="44" t="n">
        <v>3.5</v>
      </c>
      <c r="G447" s="24" t="n">
        <v>0</v>
      </c>
      <c r="H447" s="24" t="n">
        <v>12</v>
      </c>
      <c r="I447" s="44" t="n">
        <f aca="false">E447*F447*(1-G447/100)*(1+H447/100)</f>
        <v>15.68</v>
      </c>
      <c r="J447" s="24" t="s">
        <v>24</v>
      </c>
      <c r="K447" s="24" t="s">
        <v>101</v>
      </c>
      <c r="L447" s="43" t="s">
        <v>122</v>
      </c>
      <c r="M447" s="44" t="n">
        <f aca="false">F447*(1-G447/100)-1.4</f>
        <v>2.1</v>
      </c>
      <c r="N447" s="44" t="n">
        <f aca="false">M447*E447</f>
        <v>8.4</v>
      </c>
    </row>
    <row r="448" customFormat="false" ht="16.5" hidden="false" customHeight="true" outlineLevel="0" collapsed="false">
      <c r="A448" s="45" t="n">
        <v>45699</v>
      </c>
      <c r="B448" s="28" t="s">
        <v>546</v>
      </c>
      <c r="C448" s="46" t="s">
        <v>124</v>
      </c>
      <c r="D448" s="46" t="s">
        <v>96</v>
      </c>
      <c r="E448" s="28" t="n">
        <v>5</v>
      </c>
      <c r="F448" s="47" t="n">
        <v>4</v>
      </c>
      <c r="G448" s="28" t="n">
        <v>0</v>
      </c>
      <c r="H448" s="28" t="n">
        <v>12</v>
      </c>
      <c r="I448" s="47" t="n">
        <f aca="false">E448*F448*(1-G448/100)*(1+H448/100)</f>
        <v>22.4</v>
      </c>
      <c r="J448" s="28" t="s">
        <v>26</v>
      </c>
      <c r="K448" s="28" t="s">
        <v>97</v>
      </c>
      <c r="L448" s="46" t="s">
        <v>86</v>
      </c>
      <c r="M448" s="47" t="n">
        <f aca="false">F448*(1-G448/100)-1.8</f>
        <v>2.2</v>
      </c>
      <c r="N448" s="47" t="n">
        <f aca="false">M448*E448</f>
        <v>11</v>
      </c>
    </row>
    <row r="449" customFormat="false" ht="16.5" hidden="false" customHeight="true" outlineLevel="0" collapsed="false">
      <c r="A449" s="42" t="n">
        <v>45699</v>
      </c>
      <c r="B449" s="24" t="s">
        <v>547</v>
      </c>
      <c r="C449" s="43" t="s">
        <v>33</v>
      </c>
      <c r="D449" s="43" t="s">
        <v>104</v>
      </c>
      <c r="E449" s="24" t="n">
        <v>5</v>
      </c>
      <c r="F449" s="44" t="n">
        <v>5</v>
      </c>
      <c r="G449" s="24" t="n">
        <v>0</v>
      </c>
      <c r="H449" s="24" t="n">
        <v>12</v>
      </c>
      <c r="I449" s="44" t="n">
        <f aca="false">E449*F449*(1-G449/100)*(1+H449/100)</f>
        <v>28</v>
      </c>
      <c r="J449" s="24" t="s">
        <v>32</v>
      </c>
      <c r="K449" s="24" t="s">
        <v>101</v>
      </c>
      <c r="L449" s="43" t="s">
        <v>122</v>
      </c>
      <c r="M449" s="44" t="n">
        <f aca="false">F449*(1-G449/100)-2.5</f>
        <v>2.5</v>
      </c>
      <c r="N449" s="44" t="n">
        <f aca="false">M449*E449</f>
        <v>12.5</v>
      </c>
    </row>
    <row r="450" customFormat="false" ht="16.5" hidden="false" customHeight="true" outlineLevel="0" collapsed="false">
      <c r="A450" s="45" t="n">
        <v>45699</v>
      </c>
      <c r="B450" s="28" t="s">
        <v>548</v>
      </c>
      <c r="C450" s="46" t="s">
        <v>29</v>
      </c>
      <c r="D450" s="46" t="s">
        <v>104</v>
      </c>
      <c r="E450" s="28" t="n">
        <v>5</v>
      </c>
      <c r="F450" s="47" t="n">
        <v>2.5</v>
      </c>
      <c r="G450" s="28" t="n">
        <v>0</v>
      </c>
      <c r="H450" s="28" t="n">
        <v>12</v>
      </c>
      <c r="I450" s="47" t="n">
        <f aca="false">E450*F450*(1-G450/100)*(1+H450/100)</f>
        <v>14</v>
      </c>
      <c r="J450" s="28" t="s">
        <v>34</v>
      </c>
      <c r="K450" s="28" t="s">
        <v>85</v>
      </c>
      <c r="L450" s="46" t="s">
        <v>117</v>
      </c>
      <c r="M450" s="47" t="n">
        <f aca="false">F450*(1-G450/100)-1.1</f>
        <v>1.4</v>
      </c>
      <c r="N450" s="47" t="n">
        <f aca="false">M450*E450</f>
        <v>7</v>
      </c>
    </row>
    <row r="451" customFormat="false" ht="16.5" hidden="false" customHeight="true" outlineLevel="0" collapsed="false">
      <c r="A451" s="42" t="n">
        <v>45699</v>
      </c>
      <c r="B451" s="24" t="s">
        <v>549</v>
      </c>
      <c r="C451" s="43" t="s">
        <v>36</v>
      </c>
      <c r="D451" s="43" t="s">
        <v>96</v>
      </c>
      <c r="E451" s="24" t="n">
        <v>4</v>
      </c>
      <c r="F451" s="44" t="n">
        <v>8.5</v>
      </c>
      <c r="G451" s="24" t="n">
        <v>0</v>
      </c>
      <c r="H451" s="24" t="n">
        <v>12</v>
      </c>
      <c r="I451" s="44" t="n">
        <f aca="false">E451*F451*(1-G451/100)*(1+H451/100)</f>
        <v>38.08</v>
      </c>
      <c r="J451" s="24" t="s">
        <v>24</v>
      </c>
      <c r="K451" s="24" t="s">
        <v>88</v>
      </c>
      <c r="L451" s="43" t="s">
        <v>106</v>
      </c>
      <c r="M451" s="44" t="n">
        <f aca="false">F451*(1-G451/100)-4.2</f>
        <v>4.3</v>
      </c>
      <c r="N451" s="44" t="n">
        <f aca="false">M451*E451</f>
        <v>17.2</v>
      </c>
    </row>
    <row r="452" customFormat="false" ht="16.5" hidden="false" customHeight="true" outlineLevel="0" collapsed="false">
      <c r="A452" s="45" t="n">
        <v>45699</v>
      </c>
      <c r="B452" s="28" t="s">
        <v>550</v>
      </c>
      <c r="C452" s="46" t="s">
        <v>25</v>
      </c>
      <c r="D452" s="46" t="s">
        <v>81</v>
      </c>
      <c r="E452" s="28" t="n">
        <v>1</v>
      </c>
      <c r="F452" s="47" t="n">
        <v>3.5</v>
      </c>
      <c r="G452" s="28" t="n">
        <v>5</v>
      </c>
      <c r="H452" s="28" t="n">
        <v>12</v>
      </c>
      <c r="I452" s="47" t="n">
        <f aca="false">E452*F452*(1-G452/100)*(1+H452/100)</f>
        <v>3.724</v>
      </c>
      <c r="J452" s="28" t="s">
        <v>26</v>
      </c>
      <c r="K452" s="28" t="s">
        <v>101</v>
      </c>
      <c r="L452" s="46" t="s">
        <v>106</v>
      </c>
      <c r="M452" s="47" t="n">
        <f aca="false">F452*(1-G452/100)-2.2</f>
        <v>1.125</v>
      </c>
      <c r="N452" s="47" t="n">
        <f aca="false">M452*E452</f>
        <v>1.125</v>
      </c>
    </row>
    <row r="453" customFormat="false" ht="16.5" hidden="false" customHeight="true" outlineLevel="0" collapsed="false">
      <c r="A453" s="42" t="n">
        <v>45699</v>
      </c>
      <c r="B453" s="24" t="s">
        <v>551</v>
      </c>
      <c r="C453" s="43" t="s">
        <v>109</v>
      </c>
      <c r="D453" s="43" t="s">
        <v>110</v>
      </c>
      <c r="E453" s="24" t="n">
        <v>5</v>
      </c>
      <c r="F453" s="44" t="n">
        <v>3.5</v>
      </c>
      <c r="G453" s="24" t="n">
        <v>10</v>
      </c>
      <c r="H453" s="24" t="n">
        <v>12</v>
      </c>
      <c r="I453" s="44" t="n">
        <f aca="false">E453*F453*(1-G453/100)*(1+H453/100)</f>
        <v>17.64</v>
      </c>
      <c r="J453" s="24" t="s">
        <v>32</v>
      </c>
      <c r="K453" s="24" t="s">
        <v>97</v>
      </c>
      <c r="L453" s="43" t="s">
        <v>86</v>
      </c>
      <c r="M453" s="44" t="n">
        <f aca="false">F453*(1-G453/100)-1.4</f>
        <v>1.75</v>
      </c>
      <c r="N453" s="44" t="n">
        <f aca="false">M453*E453</f>
        <v>8.75</v>
      </c>
    </row>
    <row r="454" customFormat="false" ht="16.5" hidden="false" customHeight="true" outlineLevel="0" collapsed="false">
      <c r="A454" s="45" t="n">
        <v>45699</v>
      </c>
      <c r="B454" s="28" t="s">
        <v>552</v>
      </c>
      <c r="C454" s="46" t="s">
        <v>35</v>
      </c>
      <c r="D454" s="46" t="s">
        <v>81</v>
      </c>
      <c r="E454" s="28" t="n">
        <v>4</v>
      </c>
      <c r="F454" s="47" t="n">
        <v>1.5</v>
      </c>
      <c r="G454" s="28" t="n">
        <v>5</v>
      </c>
      <c r="H454" s="28" t="n">
        <v>12</v>
      </c>
      <c r="I454" s="47" t="n">
        <f aca="false">E454*F454*(1-G454/100)*(1+H454/100)</f>
        <v>6.384</v>
      </c>
      <c r="J454" s="28" t="s">
        <v>26</v>
      </c>
      <c r="K454" s="28" t="s">
        <v>97</v>
      </c>
      <c r="L454" s="46" t="s">
        <v>117</v>
      </c>
      <c r="M454" s="47" t="n">
        <f aca="false">F454*(1-G454/100)-0.6</f>
        <v>0.825</v>
      </c>
      <c r="N454" s="47" t="n">
        <f aca="false">M454*E454</f>
        <v>3.3</v>
      </c>
    </row>
    <row r="455" customFormat="false" ht="16.5" hidden="false" customHeight="true" outlineLevel="0" collapsed="false">
      <c r="A455" s="42" t="n">
        <v>45700</v>
      </c>
      <c r="B455" s="24" t="s">
        <v>553</v>
      </c>
      <c r="C455" s="43" t="s">
        <v>113</v>
      </c>
      <c r="D455" s="43" t="s">
        <v>96</v>
      </c>
      <c r="E455" s="24" t="n">
        <v>2</v>
      </c>
      <c r="F455" s="44" t="n">
        <v>6</v>
      </c>
      <c r="G455" s="24" t="n">
        <v>10</v>
      </c>
      <c r="H455" s="24" t="n">
        <v>12</v>
      </c>
      <c r="I455" s="44" t="n">
        <f aca="false">E455*F455*(1-G455/100)*(1+H455/100)</f>
        <v>12.096</v>
      </c>
      <c r="J455" s="24" t="s">
        <v>32</v>
      </c>
      <c r="K455" s="24" t="s">
        <v>101</v>
      </c>
      <c r="L455" s="43" t="s">
        <v>89</v>
      </c>
      <c r="M455" s="44" t="n">
        <f aca="false">F455*(1-G455/100)-2.8</f>
        <v>2.6</v>
      </c>
      <c r="N455" s="44" t="n">
        <f aca="false">M455*E455</f>
        <v>5.2</v>
      </c>
    </row>
    <row r="456" customFormat="false" ht="16.5" hidden="false" customHeight="true" outlineLevel="0" collapsed="false">
      <c r="A456" s="45" t="n">
        <v>45700</v>
      </c>
      <c r="B456" s="28" t="s">
        <v>554</v>
      </c>
      <c r="C456" s="46" t="s">
        <v>35</v>
      </c>
      <c r="D456" s="46" t="s">
        <v>81</v>
      </c>
      <c r="E456" s="28" t="n">
        <v>2</v>
      </c>
      <c r="F456" s="47" t="n">
        <v>1.5</v>
      </c>
      <c r="G456" s="28" t="n">
        <v>0</v>
      </c>
      <c r="H456" s="28" t="n">
        <v>12</v>
      </c>
      <c r="I456" s="47" t="n">
        <f aca="false">E456*F456*(1-G456/100)*(1+H456/100)</f>
        <v>3.36</v>
      </c>
      <c r="J456" s="28" t="s">
        <v>24</v>
      </c>
      <c r="K456" s="28" t="s">
        <v>97</v>
      </c>
      <c r="L456" s="46" t="s">
        <v>83</v>
      </c>
      <c r="M456" s="47" t="n">
        <f aca="false">F456*(1-G456/100)-0.6</f>
        <v>0.9</v>
      </c>
      <c r="N456" s="47" t="n">
        <f aca="false">M456*E456</f>
        <v>1.8</v>
      </c>
    </row>
    <row r="457" customFormat="false" ht="16.5" hidden="false" customHeight="true" outlineLevel="0" collapsed="false">
      <c r="A457" s="42" t="n">
        <v>45700</v>
      </c>
      <c r="B457" s="24" t="s">
        <v>555</v>
      </c>
      <c r="C457" s="43" t="s">
        <v>113</v>
      </c>
      <c r="D457" s="43" t="s">
        <v>96</v>
      </c>
      <c r="E457" s="24" t="n">
        <v>2</v>
      </c>
      <c r="F457" s="44" t="n">
        <v>6</v>
      </c>
      <c r="G457" s="24" t="n">
        <v>5</v>
      </c>
      <c r="H457" s="24" t="n">
        <v>12</v>
      </c>
      <c r="I457" s="44" t="n">
        <f aca="false">E457*F457*(1-G457/100)*(1+H457/100)</f>
        <v>12.768</v>
      </c>
      <c r="J457" s="24" t="s">
        <v>28</v>
      </c>
      <c r="K457" s="24" t="s">
        <v>97</v>
      </c>
      <c r="L457" s="43" t="s">
        <v>98</v>
      </c>
      <c r="M457" s="44" t="n">
        <f aca="false">F457*(1-G457/100)-2.8</f>
        <v>2.9</v>
      </c>
      <c r="N457" s="44" t="n">
        <f aca="false">M457*E457</f>
        <v>5.8</v>
      </c>
    </row>
    <row r="458" customFormat="false" ht="16.5" hidden="false" customHeight="true" outlineLevel="0" collapsed="false">
      <c r="A458" s="45" t="n">
        <v>45700</v>
      </c>
      <c r="B458" s="28" t="s">
        <v>556</v>
      </c>
      <c r="C458" s="46" t="s">
        <v>27</v>
      </c>
      <c r="D458" s="46" t="s">
        <v>81</v>
      </c>
      <c r="E458" s="28" t="n">
        <v>1</v>
      </c>
      <c r="F458" s="47" t="n">
        <v>4.5</v>
      </c>
      <c r="G458" s="28" t="n">
        <v>0</v>
      </c>
      <c r="H458" s="28" t="n">
        <v>12</v>
      </c>
      <c r="I458" s="47" t="n">
        <f aca="false">E458*F458*(1-G458/100)*(1+H458/100)</f>
        <v>5.04</v>
      </c>
      <c r="J458" s="28" t="s">
        <v>32</v>
      </c>
      <c r="K458" s="28" t="s">
        <v>97</v>
      </c>
      <c r="L458" s="46" t="s">
        <v>122</v>
      </c>
      <c r="M458" s="47" t="n">
        <f aca="false">F458*(1-G458/100)-2.8</f>
        <v>1.7</v>
      </c>
      <c r="N458" s="47" t="n">
        <f aca="false">M458*E458</f>
        <v>1.7</v>
      </c>
    </row>
    <row r="459" customFormat="false" ht="16.5" hidden="false" customHeight="true" outlineLevel="0" collapsed="false">
      <c r="A459" s="42" t="n">
        <v>45700</v>
      </c>
      <c r="B459" s="24" t="s">
        <v>557</v>
      </c>
      <c r="C459" s="43" t="s">
        <v>27</v>
      </c>
      <c r="D459" s="43" t="s">
        <v>81</v>
      </c>
      <c r="E459" s="24" t="n">
        <v>2</v>
      </c>
      <c r="F459" s="44" t="n">
        <v>4.5</v>
      </c>
      <c r="G459" s="24" t="n">
        <v>0</v>
      </c>
      <c r="H459" s="24" t="n">
        <v>12</v>
      </c>
      <c r="I459" s="44" t="n">
        <f aca="false">E459*F459*(1-G459/100)*(1+H459/100)</f>
        <v>10.08</v>
      </c>
      <c r="J459" s="24" t="s">
        <v>26</v>
      </c>
      <c r="K459" s="24" t="s">
        <v>85</v>
      </c>
      <c r="L459" s="43" t="s">
        <v>111</v>
      </c>
      <c r="M459" s="44" t="n">
        <f aca="false">F459*(1-G459/100)-2.8</f>
        <v>1.7</v>
      </c>
      <c r="N459" s="44" t="n">
        <f aca="false">M459*E459</f>
        <v>3.4</v>
      </c>
    </row>
    <row r="460" customFormat="false" ht="16.5" hidden="false" customHeight="true" outlineLevel="0" collapsed="false">
      <c r="A460" s="45" t="n">
        <v>45700</v>
      </c>
      <c r="B460" s="28" t="s">
        <v>558</v>
      </c>
      <c r="C460" s="46" t="s">
        <v>124</v>
      </c>
      <c r="D460" s="46" t="s">
        <v>96</v>
      </c>
      <c r="E460" s="28" t="n">
        <v>5</v>
      </c>
      <c r="F460" s="47" t="n">
        <v>4</v>
      </c>
      <c r="G460" s="28" t="n">
        <v>10</v>
      </c>
      <c r="H460" s="28" t="n">
        <v>12</v>
      </c>
      <c r="I460" s="47" t="n">
        <f aca="false">E460*F460*(1-G460/100)*(1+H460/100)</f>
        <v>20.16</v>
      </c>
      <c r="J460" s="28" t="s">
        <v>32</v>
      </c>
      <c r="K460" s="28" t="s">
        <v>101</v>
      </c>
      <c r="L460" s="46" t="s">
        <v>86</v>
      </c>
      <c r="M460" s="47" t="n">
        <f aca="false">F460*(1-G460/100)-1.8</f>
        <v>1.8</v>
      </c>
      <c r="N460" s="47" t="n">
        <f aca="false">M460*E460</f>
        <v>9</v>
      </c>
    </row>
    <row r="461" customFormat="false" ht="16.5" hidden="false" customHeight="true" outlineLevel="0" collapsed="false">
      <c r="A461" s="42" t="n">
        <v>45700</v>
      </c>
      <c r="B461" s="24" t="s">
        <v>559</v>
      </c>
      <c r="C461" s="43" t="s">
        <v>27</v>
      </c>
      <c r="D461" s="43" t="s">
        <v>81</v>
      </c>
      <c r="E461" s="24" t="n">
        <v>3</v>
      </c>
      <c r="F461" s="44" t="n">
        <v>4.5</v>
      </c>
      <c r="G461" s="24" t="n">
        <v>10</v>
      </c>
      <c r="H461" s="24" t="n">
        <v>12</v>
      </c>
      <c r="I461" s="44" t="n">
        <f aca="false">E461*F461*(1-G461/100)*(1+H461/100)</f>
        <v>13.608</v>
      </c>
      <c r="J461" s="24" t="s">
        <v>24</v>
      </c>
      <c r="K461" s="24" t="s">
        <v>88</v>
      </c>
      <c r="L461" s="43" t="s">
        <v>89</v>
      </c>
      <c r="M461" s="44" t="n">
        <f aca="false">F461*(1-G461/100)-2.8</f>
        <v>1.25</v>
      </c>
      <c r="N461" s="44" t="n">
        <f aca="false">M461*E461</f>
        <v>3.75</v>
      </c>
    </row>
    <row r="462" customFormat="false" ht="16.5" hidden="false" customHeight="true" outlineLevel="0" collapsed="false">
      <c r="A462" s="45" t="n">
        <v>45700</v>
      </c>
      <c r="B462" s="28" t="s">
        <v>560</v>
      </c>
      <c r="C462" s="46" t="s">
        <v>36</v>
      </c>
      <c r="D462" s="46" t="s">
        <v>96</v>
      </c>
      <c r="E462" s="28" t="n">
        <v>4</v>
      </c>
      <c r="F462" s="47" t="n">
        <v>8.5</v>
      </c>
      <c r="G462" s="28" t="n">
        <v>0</v>
      </c>
      <c r="H462" s="28" t="n">
        <v>12</v>
      </c>
      <c r="I462" s="47" t="n">
        <f aca="false">E462*F462*(1-G462/100)*(1+H462/100)</f>
        <v>38.08</v>
      </c>
      <c r="J462" s="28" t="s">
        <v>28</v>
      </c>
      <c r="K462" s="28" t="s">
        <v>85</v>
      </c>
      <c r="L462" s="46" t="s">
        <v>94</v>
      </c>
      <c r="M462" s="47" t="n">
        <f aca="false">F462*(1-G462/100)-4.2</f>
        <v>4.3</v>
      </c>
      <c r="N462" s="47" t="n">
        <f aca="false">M462*E462</f>
        <v>17.2</v>
      </c>
    </row>
    <row r="463" customFormat="false" ht="16.5" hidden="false" customHeight="true" outlineLevel="0" collapsed="false">
      <c r="A463" s="42" t="n">
        <v>45700</v>
      </c>
      <c r="B463" s="24" t="s">
        <v>561</v>
      </c>
      <c r="C463" s="43" t="s">
        <v>27</v>
      </c>
      <c r="D463" s="43" t="s">
        <v>81</v>
      </c>
      <c r="E463" s="24" t="n">
        <v>5</v>
      </c>
      <c r="F463" s="44" t="n">
        <v>4.5</v>
      </c>
      <c r="G463" s="24" t="n">
        <v>0</v>
      </c>
      <c r="H463" s="24" t="n">
        <v>12</v>
      </c>
      <c r="I463" s="44" t="n">
        <f aca="false">E463*F463*(1-G463/100)*(1+H463/100)</f>
        <v>25.2</v>
      </c>
      <c r="J463" s="24" t="s">
        <v>34</v>
      </c>
      <c r="K463" s="24" t="s">
        <v>88</v>
      </c>
      <c r="L463" s="43" t="s">
        <v>83</v>
      </c>
      <c r="M463" s="44" t="n">
        <f aca="false">F463*(1-G463/100)-2.8</f>
        <v>1.7</v>
      </c>
      <c r="N463" s="44" t="n">
        <f aca="false">M463*E463</f>
        <v>8.5</v>
      </c>
    </row>
    <row r="464" customFormat="false" ht="16.5" hidden="false" customHeight="true" outlineLevel="0" collapsed="false">
      <c r="A464" s="45" t="n">
        <v>45700</v>
      </c>
      <c r="B464" s="28" t="s">
        <v>562</v>
      </c>
      <c r="C464" s="46" t="s">
        <v>113</v>
      </c>
      <c r="D464" s="46" t="s">
        <v>96</v>
      </c>
      <c r="E464" s="28" t="n">
        <v>2</v>
      </c>
      <c r="F464" s="47" t="n">
        <v>6</v>
      </c>
      <c r="G464" s="28" t="n">
        <v>0</v>
      </c>
      <c r="H464" s="28" t="n">
        <v>12</v>
      </c>
      <c r="I464" s="47" t="n">
        <f aca="false">E464*F464*(1-G464/100)*(1+H464/100)</f>
        <v>13.44</v>
      </c>
      <c r="J464" s="28" t="s">
        <v>28</v>
      </c>
      <c r="K464" s="28" t="s">
        <v>97</v>
      </c>
      <c r="L464" s="46" t="s">
        <v>122</v>
      </c>
      <c r="M464" s="47" t="n">
        <f aca="false">F464*(1-G464/100)-2.8</f>
        <v>3.2</v>
      </c>
      <c r="N464" s="47" t="n">
        <f aca="false">M464*E464</f>
        <v>6.4</v>
      </c>
    </row>
    <row r="465" customFormat="false" ht="16.5" hidden="false" customHeight="true" outlineLevel="0" collapsed="false">
      <c r="A465" s="42" t="n">
        <v>45700</v>
      </c>
      <c r="B465" s="24" t="s">
        <v>563</v>
      </c>
      <c r="C465" s="43" t="s">
        <v>93</v>
      </c>
      <c r="D465" s="43" t="s">
        <v>81</v>
      </c>
      <c r="E465" s="24" t="n">
        <v>2</v>
      </c>
      <c r="F465" s="44" t="n">
        <v>3</v>
      </c>
      <c r="G465" s="24" t="n">
        <v>0</v>
      </c>
      <c r="H465" s="24" t="n">
        <v>12</v>
      </c>
      <c r="I465" s="44" t="n">
        <f aca="false">E465*F465*(1-G465/100)*(1+H465/100)</f>
        <v>6.72</v>
      </c>
      <c r="J465" s="24" t="s">
        <v>26</v>
      </c>
      <c r="K465" s="24" t="s">
        <v>85</v>
      </c>
      <c r="L465" s="43" t="s">
        <v>122</v>
      </c>
      <c r="M465" s="44" t="n">
        <f aca="false">F465*(1-G465/100)-1.5</f>
        <v>1.5</v>
      </c>
      <c r="N465" s="44" t="n">
        <f aca="false">M465*E465</f>
        <v>3</v>
      </c>
    </row>
    <row r="466" customFormat="false" ht="16.5" hidden="false" customHeight="true" outlineLevel="0" collapsed="false">
      <c r="A466" s="45" t="n">
        <v>45701</v>
      </c>
      <c r="B466" s="28" t="s">
        <v>564</v>
      </c>
      <c r="C466" s="46" t="s">
        <v>35</v>
      </c>
      <c r="D466" s="46" t="s">
        <v>81</v>
      </c>
      <c r="E466" s="28" t="n">
        <v>4</v>
      </c>
      <c r="F466" s="47" t="n">
        <v>1.5</v>
      </c>
      <c r="G466" s="28" t="n">
        <v>0</v>
      </c>
      <c r="H466" s="28" t="n">
        <v>12</v>
      </c>
      <c r="I466" s="47" t="n">
        <f aca="false">E466*F466*(1-G466/100)*(1+H466/100)</f>
        <v>6.72</v>
      </c>
      <c r="J466" s="28" t="s">
        <v>28</v>
      </c>
      <c r="K466" s="28" t="s">
        <v>97</v>
      </c>
      <c r="L466" s="46" t="s">
        <v>91</v>
      </c>
      <c r="M466" s="47" t="n">
        <f aca="false">F466*(1-G466/100)-0.6</f>
        <v>0.9</v>
      </c>
      <c r="N466" s="47" t="n">
        <f aca="false">M466*E466</f>
        <v>3.6</v>
      </c>
    </row>
    <row r="467" customFormat="false" ht="16.5" hidden="false" customHeight="true" outlineLevel="0" collapsed="false">
      <c r="A467" s="42" t="n">
        <v>45701</v>
      </c>
      <c r="B467" s="24" t="s">
        <v>565</v>
      </c>
      <c r="C467" s="43" t="s">
        <v>93</v>
      </c>
      <c r="D467" s="43" t="s">
        <v>81</v>
      </c>
      <c r="E467" s="24" t="n">
        <v>5</v>
      </c>
      <c r="F467" s="44" t="n">
        <v>3</v>
      </c>
      <c r="G467" s="24" t="n">
        <v>10</v>
      </c>
      <c r="H467" s="24" t="n">
        <v>12</v>
      </c>
      <c r="I467" s="44" t="n">
        <f aca="false">E467*F467*(1-G467/100)*(1+H467/100)</f>
        <v>15.12</v>
      </c>
      <c r="J467" s="24" t="s">
        <v>26</v>
      </c>
      <c r="K467" s="24" t="s">
        <v>85</v>
      </c>
      <c r="L467" s="43" t="s">
        <v>98</v>
      </c>
      <c r="M467" s="44" t="n">
        <f aca="false">F467*(1-G467/100)-1.5</f>
        <v>1.2</v>
      </c>
      <c r="N467" s="44" t="n">
        <f aca="false">M467*E467</f>
        <v>6</v>
      </c>
    </row>
    <row r="468" customFormat="false" ht="16.5" hidden="false" customHeight="true" outlineLevel="0" collapsed="false">
      <c r="A468" s="45" t="n">
        <v>45701</v>
      </c>
      <c r="B468" s="28" t="s">
        <v>566</v>
      </c>
      <c r="C468" s="46" t="s">
        <v>29</v>
      </c>
      <c r="D468" s="46" t="s">
        <v>104</v>
      </c>
      <c r="E468" s="28" t="n">
        <v>3</v>
      </c>
      <c r="F468" s="47" t="n">
        <v>2.5</v>
      </c>
      <c r="G468" s="28" t="n">
        <v>0</v>
      </c>
      <c r="H468" s="28" t="n">
        <v>12</v>
      </c>
      <c r="I468" s="47" t="n">
        <f aca="false">E468*F468*(1-G468/100)*(1+H468/100)</f>
        <v>8.4</v>
      </c>
      <c r="J468" s="28" t="s">
        <v>32</v>
      </c>
      <c r="K468" s="28" t="s">
        <v>97</v>
      </c>
      <c r="L468" s="46" t="s">
        <v>89</v>
      </c>
      <c r="M468" s="47" t="n">
        <f aca="false">F468*(1-G468/100)-1.1</f>
        <v>1.4</v>
      </c>
      <c r="N468" s="47" t="n">
        <f aca="false">M468*E468</f>
        <v>4.2</v>
      </c>
    </row>
    <row r="469" customFormat="false" ht="16.5" hidden="false" customHeight="true" outlineLevel="0" collapsed="false">
      <c r="A469" s="42" t="n">
        <v>45701</v>
      </c>
      <c r="B469" s="24" t="s">
        <v>567</v>
      </c>
      <c r="C469" s="43" t="s">
        <v>113</v>
      </c>
      <c r="D469" s="43" t="s">
        <v>96</v>
      </c>
      <c r="E469" s="24" t="n">
        <v>3</v>
      </c>
      <c r="F469" s="44" t="n">
        <v>6</v>
      </c>
      <c r="G469" s="24" t="n">
        <v>5</v>
      </c>
      <c r="H469" s="24" t="n">
        <v>12</v>
      </c>
      <c r="I469" s="44" t="n">
        <f aca="false">E469*F469*(1-G469/100)*(1+H469/100)</f>
        <v>19.152</v>
      </c>
      <c r="J469" s="24" t="s">
        <v>28</v>
      </c>
      <c r="K469" s="24" t="s">
        <v>85</v>
      </c>
      <c r="L469" s="43" t="s">
        <v>89</v>
      </c>
      <c r="M469" s="44" t="n">
        <f aca="false">F469*(1-G469/100)-2.8</f>
        <v>2.9</v>
      </c>
      <c r="N469" s="44" t="n">
        <f aca="false">M469*E469</f>
        <v>8.7</v>
      </c>
    </row>
    <row r="470" customFormat="false" ht="16.5" hidden="false" customHeight="true" outlineLevel="0" collapsed="false">
      <c r="A470" s="45" t="n">
        <v>45701</v>
      </c>
      <c r="B470" s="28" t="s">
        <v>568</v>
      </c>
      <c r="C470" s="46" t="s">
        <v>29</v>
      </c>
      <c r="D470" s="46" t="s">
        <v>104</v>
      </c>
      <c r="E470" s="28" t="n">
        <v>3</v>
      </c>
      <c r="F470" s="47" t="n">
        <v>2.5</v>
      </c>
      <c r="G470" s="28" t="n">
        <v>0</v>
      </c>
      <c r="H470" s="28" t="n">
        <v>12</v>
      </c>
      <c r="I470" s="47" t="n">
        <f aca="false">E470*F470*(1-G470/100)*(1+H470/100)</f>
        <v>8.4</v>
      </c>
      <c r="J470" s="28" t="s">
        <v>34</v>
      </c>
      <c r="K470" s="28" t="s">
        <v>82</v>
      </c>
      <c r="L470" s="46" t="s">
        <v>111</v>
      </c>
      <c r="M470" s="47" t="n">
        <f aca="false">F470*(1-G470/100)-1.1</f>
        <v>1.4</v>
      </c>
      <c r="N470" s="47" t="n">
        <f aca="false">M470*E470</f>
        <v>4.2</v>
      </c>
    </row>
    <row r="471" customFormat="false" ht="16.5" hidden="false" customHeight="true" outlineLevel="0" collapsed="false">
      <c r="A471" s="42" t="n">
        <v>45701</v>
      </c>
      <c r="B471" s="24" t="s">
        <v>569</v>
      </c>
      <c r="C471" s="43" t="s">
        <v>36</v>
      </c>
      <c r="D471" s="43" t="s">
        <v>96</v>
      </c>
      <c r="E471" s="24" t="n">
        <v>2</v>
      </c>
      <c r="F471" s="44" t="n">
        <v>8.5</v>
      </c>
      <c r="G471" s="24" t="n">
        <v>5</v>
      </c>
      <c r="H471" s="24" t="n">
        <v>12</v>
      </c>
      <c r="I471" s="44" t="n">
        <f aca="false">E471*F471*(1-G471/100)*(1+H471/100)</f>
        <v>18.088</v>
      </c>
      <c r="J471" s="24" t="s">
        <v>28</v>
      </c>
      <c r="K471" s="24" t="s">
        <v>97</v>
      </c>
      <c r="L471" s="43" t="s">
        <v>111</v>
      </c>
      <c r="M471" s="44" t="n">
        <f aca="false">F471*(1-G471/100)-4.2</f>
        <v>3.875</v>
      </c>
      <c r="N471" s="44" t="n">
        <f aca="false">M471*E471</f>
        <v>7.75</v>
      </c>
    </row>
    <row r="472" customFormat="false" ht="16.5" hidden="false" customHeight="true" outlineLevel="0" collapsed="false">
      <c r="A472" s="45" t="n">
        <v>45701</v>
      </c>
      <c r="B472" s="28" t="s">
        <v>570</v>
      </c>
      <c r="C472" s="46" t="s">
        <v>109</v>
      </c>
      <c r="D472" s="46" t="s">
        <v>110</v>
      </c>
      <c r="E472" s="28" t="n">
        <v>2</v>
      </c>
      <c r="F472" s="47" t="n">
        <v>3.5</v>
      </c>
      <c r="G472" s="28" t="n">
        <v>0</v>
      </c>
      <c r="H472" s="28" t="n">
        <v>12</v>
      </c>
      <c r="I472" s="47" t="n">
        <f aca="false">E472*F472*(1-G472/100)*(1+H472/100)</f>
        <v>7.84</v>
      </c>
      <c r="J472" s="28" t="s">
        <v>32</v>
      </c>
      <c r="K472" s="28" t="s">
        <v>97</v>
      </c>
      <c r="L472" s="46" t="s">
        <v>94</v>
      </c>
      <c r="M472" s="47" t="n">
        <f aca="false">F472*(1-G472/100)-1.4</f>
        <v>2.1</v>
      </c>
      <c r="N472" s="47" t="n">
        <f aca="false">M472*E472</f>
        <v>4.2</v>
      </c>
    </row>
    <row r="473" customFormat="false" ht="16.5" hidden="false" customHeight="true" outlineLevel="0" collapsed="false">
      <c r="A473" s="42" t="n">
        <v>45701</v>
      </c>
      <c r="B473" s="24" t="s">
        <v>571</v>
      </c>
      <c r="C473" s="43" t="s">
        <v>36</v>
      </c>
      <c r="D473" s="43" t="s">
        <v>96</v>
      </c>
      <c r="E473" s="24" t="n">
        <v>1</v>
      </c>
      <c r="F473" s="44" t="n">
        <v>8.5</v>
      </c>
      <c r="G473" s="24" t="n">
        <v>10</v>
      </c>
      <c r="H473" s="24" t="n">
        <v>12</v>
      </c>
      <c r="I473" s="44" t="n">
        <f aca="false">E473*F473*(1-G473/100)*(1+H473/100)</f>
        <v>8.568</v>
      </c>
      <c r="J473" s="24" t="s">
        <v>26</v>
      </c>
      <c r="K473" s="24" t="s">
        <v>88</v>
      </c>
      <c r="L473" s="43" t="s">
        <v>117</v>
      </c>
      <c r="M473" s="44" t="n">
        <f aca="false">F473*(1-G473/100)-4.2</f>
        <v>3.45</v>
      </c>
      <c r="N473" s="44" t="n">
        <f aca="false">M473*E473</f>
        <v>3.45</v>
      </c>
    </row>
    <row r="474" customFormat="false" ht="16.5" hidden="false" customHeight="true" outlineLevel="0" collapsed="false">
      <c r="A474" s="45" t="n">
        <v>45701</v>
      </c>
      <c r="B474" s="28" t="s">
        <v>572</v>
      </c>
      <c r="C474" s="46" t="s">
        <v>29</v>
      </c>
      <c r="D474" s="46" t="s">
        <v>104</v>
      </c>
      <c r="E474" s="28" t="n">
        <v>5</v>
      </c>
      <c r="F474" s="47" t="n">
        <v>2.5</v>
      </c>
      <c r="G474" s="28" t="n">
        <v>0</v>
      </c>
      <c r="H474" s="28" t="n">
        <v>12</v>
      </c>
      <c r="I474" s="47" t="n">
        <f aca="false">E474*F474*(1-G474/100)*(1+H474/100)</f>
        <v>14</v>
      </c>
      <c r="J474" s="28" t="s">
        <v>32</v>
      </c>
      <c r="K474" s="28" t="s">
        <v>82</v>
      </c>
      <c r="L474" s="46" t="s">
        <v>111</v>
      </c>
      <c r="M474" s="47" t="n">
        <f aca="false">F474*(1-G474/100)-1.1</f>
        <v>1.4</v>
      </c>
      <c r="N474" s="47" t="n">
        <f aca="false">M474*E474</f>
        <v>7</v>
      </c>
    </row>
    <row r="475" customFormat="false" ht="16.5" hidden="false" customHeight="true" outlineLevel="0" collapsed="false">
      <c r="A475" s="42" t="n">
        <v>45701</v>
      </c>
      <c r="B475" s="24" t="s">
        <v>573</v>
      </c>
      <c r="C475" s="43" t="s">
        <v>35</v>
      </c>
      <c r="D475" s="43" t="s">
        <v>81</v>
      </c>
      <c r="E475" s="24" t="n">
        <v>1</v>
      </c>
      <c r="F475" s="44" t="n">
        <v>1.5</v>
      </c>
      <c r="G475" s="24" t="n">
        <v>5</v>
      </c>
      <c r="H475" s="24" t="n">
        <v>12</v>
      </c>
      <c r="I475" s="44" t="n">
        <f aca="false">E475*F475*(1-G475/100)*(1+H475/100)</f>
        <v>1.596</v>
      </c>
      <c r="J475" s="24" t="s">
        <v>32</v>
      </c>
      <c r="K475" s="24" t="s">
        <v>82</v>
      </c>
      <c r="L475" s="43" t="s">
        <v>122</v>
      </c>
      <c r="M475" s="44" t="n">
        <f aca="false">F475*(1-G475/100)-0.6</f>
        <v>0.825</v>
      </c>
      <c r="N475" s="44" t="n">
        <f aca="false">M475*E475</f>
        <v>0.825</v>
      </c>
    </row>
    <row r="476" customFormat="false" ht="16.5" hidden="false" customHeight="true" outlineLevel="0" collapsed="false">
      <c r="A476" s="45" t="n">
        <v>45701</v>
      </c>
      <c r="B476" s="28" t="s">
        <v>574</v>
      </c>
      <c r="C476" s="46" t="s">
        <v>33</v>
      </c>
      <c r="D476" s="46" t="s">
        <v>104</v>
      </c>
      <c r="E476" s="28" t="n">
        <v>3</v>
      </c>
      <c r="F476" s="47" t="n">
        <v>5</v>
      </c>
      <c r="G476" s="28" t="n">
        <v>0</v>
      </c>
      <c r="H476" s="28" t="n">
        <v>12</v>
      </c>
      <c r="I476" s="47" t="n">
        <f aca="false">E476*F476*(1-G476/100)*(1+H476/100)</f>
        <v>16.8</v>
      </c>
      <c r="J476" s="28" t="s">
        <v>32</v>
      </c>
      <c r="K476" s="28" t="s">
        <v>85</v>
      </c>
      <c r="L476" s="46" t="s">
        <v>98</v>
      </c>
      <c r="M476" s="47" t="n">
        <f aca="false">F476*(1-G476/100)-2.5</f>
        <v>2.5</v>
      </c>
      <c r="N476" s="47" t="n">
        <f aca="false">M476*E476</f>
        <v>7.5</v>
      </c>
    </row>
    <row r="477" customFormat="false" ht="16.5" hidden="false" customHeight="true" outlineLevel="0" collapsed="false">
      <c r="A477" s="42" t="n">
        <v>45702</v>
      </c>
      <c r="B477" s="24" t="s">
        <v>575</v>
      </c>
      <c r="C477" s="43" t="s">
        <v>109</v>
      </c>
      <c r="D477" s="43" t="s">
        <v>110</v>
      </c>
      <c r="E477" s="24" t="n">
        <v>4</v>
      </c>
      <c r="F477" s="44" t="n">
        <v>3.5</v>
      </c>
      <c r="G477" s="24" t="n">
        <v>10</v>
      </c>
      <c r="H477" s="24" t="n">
        <v>12</v>
      </c>
      <c r="I477" s="44" t="n">
        <f aca="false">E477*F477*(1-G477/100)*(1+H477/100)</f>
        <v>14.112</v>
      </c>
      <c r="J477" s="24" t="s">
        <v>32</v>
      </c>
      <c r="K477" s="24" t="s">
        <v>88</v>
      </c>
      <c r="L477" s="43" t="s">
        <v>117</v>
      </c>
      <c r="M477" s="44" t="n">
        <f aca="false">F477*(1-G477/100)-1.4</f>
        <v>1.75</v>
      </c>
      <c r="N477" s="44" t="n">
        <f aca="false">M477*E477</f>
        <v>7</v>
      </c>
    </row>
    <row r="478" customFormat="false" ht="16.5" hidden="false" customHeight="true" outlineLevel="0" collapsed="false">
      <c r="A478" s="45" t="n">
        <v>45702</v>
      </c>
      <c r="B478" s="28" t="s">
        <v>576</v>
      </c>
      <c r="C478" s="46" t="s">
        <v>113</v>
      </c>
      <c r="D478" s="46" t="s">
        <v>96</v>
      </c>
      <c r="E478" s="28" t="n">
        <v>5</v>
      </c>
      <c r="F478" s="47" t="n">
        <v>6</v>
      </c>
      <c r="G478" s="28" t="n">
        <v>0</v>
      </c>
      <c r="H478" s="28" t="n">
        <v>12</v>
      </c>
      <c r="I478" s="47" t="n">
        <f aca="false">E478*F478*(1-G478/100)*(1+H478/100)</f>
        <v>33.6</v>
      </c>
      <c r="J478" s="28" t="s">
        <v>28</v>
      </c>
      <c r="K478" s="28" t="s">
        <v>88</v>
      </c>
      <c r="L478" s="46" t="s">
        <v>89</v>
      </c>
      <c r="M478" s="47" t="n">
        <f aca="false">F478*(1-G478/100)-2.8</f>
        <v>3.2</v>
      </c>
      <c r="N478" s="47" t="n">
        <f aca="false">M478*E478</f>
        <v>16</v>
      </c>
    </row>
    <row r="479" customFormat="false" ht="16.5" hidden="false" customHeight="true" outlineLevel="0" collapsed="false">
      <c r="A479" s="42" t="n">
        <v>45702</v>
      </c>
      <c r="B479" s="24" t="s">
        <v>577</v>
      </c>
      <c r="C479" s="43" t="s">
        <v>27</v>
      </c>
      <c r="D479" s="43" t="s">
        <v>81</v>
      </c>
      <c r="E479" s="24" t="n">
        <v>1</v>
      </c>
      <c r="F479" s="44" t="n">
        <v>4.5</v>
      </c>
      <c r="G479" s="24" t="n">
        <v>0</v>
      </c>
      <c r="H479" s="24" t="n">
        <v>12</v>
      </c>
      <c r="I479" s="44" t="n">
        <f aca="false">E479*F479*(1-G479/100)*(1+H479/100)</f>
        <v>5.04</v>
      </c>
      <c r="J479" s="24" t="s">
        <v>28</v>
      </c>
      <c r="K479" s="24" t="s">
        <v>82</v>
      </c>
      <c r="L479" s="43" t="s">
        <v>89</v>
      </c>
      <c r="M479" s="44" t="n">
        <f aca="false">F479*(1-G479/100)-2.8</f>
        <v>1.7</v>
      </c>
      <c r="N479" s="44" t="n">
        <f aca="false">M479*E479</f>
        <v>1.7</v>
      </c>
    </row>
    <row r="480" customFormat="false" ht="16.5" hidden="false" customHeight="true" outlineLevel="0" collapsed="false">
      <c r="A480" s="45" t="n">
        <v>45702</v>
      </c>
      <c r="B480" s="28" t="s">
        <v>578</v>
      </c>
      <c r="C480" s="46" t="s">
        <v>25</v>
      </c>
      <c r="D480" s="46" t="s">
        <v>81</v>
      </c>
      <c r="E480" s="28" t="n">
        <v>5</v>
      </c>
      <c r="F480" s="47" t="n">
        <v>3.5</v>
      </c>
      <c r="G480" s="28" t="n">
        <v>5</v>
      </c>
      <c r="H480" s="28" t="n">
        <v>12</v>
      </c>
      <c r="I480" s="47" t="n">
        <f aca="false">E480*F480*(1-G480/100)*(1+H480/100)</f>
        <v>18.62</v>
      </c>
      <c r="J480" s="28" t="s">
        <v>28</v>
      </c>
      <c r="K480" s="28" t="s">
        <v>85</v>
      </c>
      <c r="L480" s="46" t="s">
        <v>98</v>
      </c>
      <c r="M480" s="47" t="n">
        <f aca="false">F480*(1-G480/100)-2.2</f>
        <v>1.125</v>
      </c>
      <c r="N480" s="47" t="n">
        <f aca="false">M480*E480</f>
        <v>5.625</v>
      </c>
    </row>
    <row r="481" customFormat="false" ht="16.5" hidden="false" customHeight="true" outlineLevel="0" collapsed="false">
      <c r="A481" s="42" t="n">
        <v>45702</v>
      </c>
      <c r="B481" s="24" t="s">
        <v>579</v>
      </c>
      <c r="C481" s="43" t="s">
        <v>25</v>
      </c>
      <c r="D481" s="43" t="s">
        <v>81</v>
      </c>
      <c r="E481" s="24" t="n">
        <v>1</v>
      </c>
      <c r="F481" s="44" t="n">
        <v>3.5</v>
      </c>
      <c r="G481" s="24" t="n">
        <v>0</v>
      </c>
      <c r="H481" s="24" t="n">
        <v>12</v>
      </c>
      <c r="I481" s="44" t="n">
        <f aca="false">E481*F481*(1-G481/100)*(1+H481/100)</f>
        <v>3.92</v>
      </c>
      <c r="J481" s="24" t="s">
        <v>26</v>
      </c>
      <c r="K481" s="24" t="s">
        <v>88</v>
      </c>
      <c r="L481" s="43" t="s">
        <v>117</v>
      </c>
      <c r="M481" s="44" t="n">
        <f aca="false">F481*(1-G481/100)-2.2</f>
        <v>1.3</v>
      </c>
      <c r="N481" s="44" t="n">
        <f aca="false">M481*E481</f>
        <v>1.3</v>
      </c>
    </row>
    <row r="482" customFormat="false" ht="16.5" hidden="false" customHeight="true" outlineLevel="0" collapsed="false">
      <c r="A482" s="45" t="n">
        <v>45702</v>
      </c>
      <c r="B482" s="28" t="s">
        <v>580</v>
      </c>
      <c r="C482" s="46" t="s">
        <v>124</v>
      </c>
      <c r="D482" s="46" t="s">
        <v>96</v>
      </c>
      <c r="E482" s="28" t="n">
        <v>5</v>
      </c>
      <c r="F482" s="47" t="n">
        <v>4</v>
      </c>
      <c r="G482" s="28" t="n">
        <v>10</v>
      </c>
      <c r="H482" s="28" t="n">
        <v>12</v>
      </c>
      <c r="I482" s="47" t="n">
        <f aca="false">E482*F482*(1-G482/100)*(1+H482/100)</f>
        <v>20.16</v>
      </c>
      <c r="J482" s="28" t="s">
        <v>26</v>
      </c>
      <c r="K482" s="28" t="s">
        <v>85</v>
      </c>
      <c r="L482" s="46" t="s">
        <v>106</v>
      </c>
      <c r="M482" s="47" t="n">
        <f aca="false">F482*(1-G482/100)-1.8</f>
        <v>1.8</v>
      </c>
      <c r="N482" s="47" t="n">
        <f aca="false">M482*E482</f>
        <v>9</v>
      </c>
    </row>
    <row r="483" customFormat="false" ht="16.5" hidden="false" customHeight="true" outlineLevel="0" collapsed="false">
      <c r="A483" s="42" t="n">
        <v>45702</v>
      </c>
      <c r="B483" s="24" t="s">
        <v>581</v>
      </c>
      <c r="C483" s="43" t="s">
        <v>113</v>
      </c>
      <c r="D483" s="43" t="s">
        <v>96</v>
      </c>
      <c r="E483" s="24" t="n">
        <v>4</v>
      </c>
      <c r="F483" s="44" t="n">
        <v>6</v>
      </c>
      <c r="G483" s="24" t="n">
        <v>10</v>
      </c>
      <c r="H483" s="24" t="n">
        <v>12</v>
      </c>
      <c r="I483" s="44" t="n">
        <f aca="false">E483*F483*(1-G483/100)*(1+H483/100)</f>
        <v>24.192</v>
      </c>
      <c r="J483" s="24" t="s">
        <v>34</v>
      </c>
      <c r="K483" s="24" t="s">
        <v>82</v>
      </c>
      <c r="L483" s="43" t="s">
        <v>106</v>
      </c>
      <c r="M483" s="44" t="n">
        <f aca="false">F483*(1-G483/100)-2.8</f>
        <v>2.6</v>
      </c>
      <c r="N483" s="44" t="n">
        <f aca="false">M483*E483</f>
        <v>10.4</v>
      </c>
    </row>
    <row r="484" customFormat="false" ht="16.5" hidden="false" customHeight="true" outlineLevel="0" collapsed="false">
      <c r="A484" s="45" t="n">
        <v>45702</v>
      </c>
      <c r="B484" s="28" t="s">
        <v>582</v>
      </c>
      <c r="C484" s="46" t="s">
        <v>25</v>
      </c>
      <c r="D484" s="46" t="s">
        <v>81</v>
      </c>
      <c r="E484" s="28" t="n">
        <v>4</v>
      </c>
      <c r="F484" s="47" t="n">
        <v>3.5</v>
      </c>
      <c r="G484" s="28" t="n">
        <v>0</v>
      </c>
      <c r="H484" s="28" t="n">
        <v>12</v>
      </c>
      <c r="I484" s="47" t="n">
        <f aca="false">E484*F484*(1-G484/100)*(1+H484/100)</f>
        <v>15.68</v>
      </c>
      <c r="J484" s="28" t="s">
        <v>28</v>
      </c>
      <c r="K484" s="28" t="s">
        <v>85</v>
      </c>
      <c r="L484" s="46" t="s">
        <v>98</v>
      </c>
      <c r="M484" s="47" t="n">
        <f aca="false">F484*(1-G484/100)-2.2</f>
        <v>1.3</v>
      </c>
      <c r="N484" s="47" t="n">
        <f aca="false">M484*E484</f>
        <v>5.2</v>
      </c>
    </row>
    <row r="485" customFormat="false" ht="16.5" hidden="false" customHeight="true" outlineLevel="0" collapsed="false">
      <c r="A485" s="42" t="n">
        <v>45702</v>
      </c>
      <c r="B485" s="24" t="s">
        <v>583</v>
      </c>
      <c r="C485" s="43" t="s">
        <v>27</v>
      </c>
      <c r="D485" s="43" t="s">
        <v>81</v>
      </c>
      <c r="E485" s="24" t="n">
        <v>2</v>
      </c>
      <c r="F485" s="44" t="n">
        <v>4.5</v>
      </c>
      <c r="G485" s="24" t="n">
        <v>0</v>
      </c>
      <c r="H485" s="24" t="n">
        <v>12</v>
      </c>
      <c r="I485" s="44" t="n">
        <f aca="false">E485*F485*(1-G485/100)*(1+H485/100)</f>
        <v>10.08</v>
      </c>
      <c r="J485" s="24" t="s">
        <v>28</v>
      </c>
      <c r="K485" s="24" t="s">
        <v>97</v>
      </c>
      <c r="L485" s="43" t="s">
        <v>111</v>
      </c>
      <c r="M485" s="44" t="n">
        <f aca="false">F485*(1-G485/100)-2.8</f>
        <v>1.7</v>
      </c>
      <c r="N485" s="44" t="n">
        <f aca="false">M485*E485</f>
        <v>3.4</v>
      </c>
    </row>
    <row r="486" customFormat="false" ht="16.5" hidden="false" customHeight="true" outlineLevel="0" collapsed="false">
      <c r="A486" s="45" t="n">
        <v>45702</v>
      </c>
      <c r="B486" s="28" t="s">
        <v>584</v>
      </c>
      <c r="C486" s="46" t="s">
        <v>33</v>
      </c>
      <c r="D486" s="46" t="s">
        <v>104</v>
      </c>
      <c r="E486" s="28" t="n">
        <v>5</v>
      </c>
      <c r="F486" s="47" t="n">
        <v>5</v>
      </c>
      <c r="G486" s="28" t="n">
        <v>5</v>
      </c>
      <c r="H486" s="28" t="n">
        <v>12</v>
      </c>
      <c r="I486" s="47" t="n">
        <f aca="false">E486*F486*(1-G486/100)*(1+H486/100)</f>
        <v>26.6</v>
      </c>
      <c r="J486" s="28" t="s">
        <v>28</v>
      </c>
      <c r="K486" s="28" t="s">
        <v>85</v>
      </c>
      <c r="L486" s="46" t="s">
        <v>98</v>
      </c>
      <c r="M486" s="47" t="n">
        <f aca="false">F486*(1-G486/100)-2.5</f>
        <v>2.25</v>
      </c>
      <c r="N486" s="47" t="n">
        <f aca="false">M486*E486</f>
        <v>11.25</v>
      </c>
    </row>
    <row r="487" customFormat="false" ht="16.5" hidden="false" customHeight="true" outlineLevel="0" collapsed="false">
      <c r="A487" s="42" t="n">
        <v>45702</v>
      </c>
      <c r="B487" s="24" t="s">
        <v>585</v>
      </c>
      <c r="C487" s="43" t="s">
        <v>93</v>
      </c>
      <c r="D487" s="43" t="s">
        <v>81</v>
      </c>
      <c r="E487" s="24" t="n">
        <v>4</v>
      </c>
      <c r="F487" s="44" t="n">
        <v>3</v>
      </c>
      <c r="G487" s="24" t="n">
        <v>0</v>
      </c>
      <c r="H487" s="24" t="n">
        <v>12</v>
      </c>
      <c r="I487" s="44" t="n">
        <f aca="false">E487*F487*(1-G487/100)*(1+H487/100)</f>
        <v>13.44</v>
      </c>
      <c r="J487" s="24" t="s">
        <v>24</v>
      </c>
      <c r="K487" s="24" t="s">
        <v>97</v>
      </c>
      <c r="L487" s="43" t="s">
        <v>86</v>
      </c>
      <c r="M487" s="44" t="n">
        <f aca="false">F487*(1-G487/100)-1.5</f>
        <v>1.5</v>
      </c>
      <c r="N487" s="44" t="n">
        <f aca="false">M487*E487</f>
        <v>6</v>
      </c>
    </row>
    <row r="488" customFormat="false" ht="16.5" hidden="false" customHeight="true" outlineLevel="0" collapsed="false">
      <c r="A488" s="45" t="n">
        <v>45702</v>
      </c>
      <c r="B488" s="28" t="s">
        <v>586</v>
      </c>
      <c r="C488" s="46" t="s">
        <v>27</v>
      </c>
      <c r="D488" s="46" t="s">
        <v>81</v>
      </c>
      <c r="E488" s="28" t="n">
        <v>1</v>
      </c>
      <c r="F488" s="47" t="n">
        <v>4.5</v>
      </c>
      <c r="G488" s="28" t="n">
        <v>0</v>
      </c>
      <c r="H488" s="28" t="n">
        <v>12</v>
      </c>
      <c r="I488" s="47" t="n">
        <f aca="false">E488*F488*(1-G488/100)*(1+H488/100)</f>
        <v>5.04</v>
      </c>
      <c r="J488" s="28" t="s">
        <v>24</v>
      </c>
      <c r="K488" s="28" t="s">
        <v>82</v>
      </c>
      <c r="L488" s="46" t="s">
        <v>91</v>
      </c>
      <c r="M488" s="47" t="n">
        <f aca="false">F488*(1-G488/100)-2.8</f>
        <v>1.7</v>
      </c>
      <c r="N488" s="47" t="n">
        <f aca="false">M488*E488</f>
        <v>1.7</v>
      </c>
    </row>
    <row r="489" customFormat="false" ht="16.5" hidden="false" customHeight="true" outlineLevel="0" collapsed="false">
      <c r="A489" s="42" t="n">
        <v>45703</v>
      </c>
      <c r="B489" s="24" t="s">
        <v>587</v>
      </c>
      <c r="C489" s="43" t="s">
        <v>29</v>
      </c>
      <c r="D489" s="43" t="s">
        <v>104</v>
      </c>
      <c r="E489" s="24" t="n">
        <v>5</v>
      </c>
      <c r="F489" s="44" t="n">
        <v>2.5</v>
      </c>
      <c r="G489" s="24" t="n">
        <v>0</v>
      </c>
      <c r="H489" s="24" t="n">
        <v>12</v>
      </c>
      <c r="I489" s="44" t="n">
        <f aca="false">E489*F489*(1-G489/100)*(1+H489/100)</f>
        <v>14</v>
      </c>
      <c r="J489" s="24" t="s">
        <v>28</v>
      </c>
      <c r="K489" s="24" t="s">
        <v>88</v>
      </c>
      <c r="L489" s="43" t="s">
        <v>94</v>
      </c>
      <c r="M489" s="44" t="n">
        <f aca="false">F489*(1-G489/100)-1.1</f>
        <v>1.4</v>
      </c>
      <c r="N489" s="44" t="n">
        <f aca="false">M489*E489</f>
        <v>7</v>
      </c>
    </row>
    <row r="490" customFormat="false" ht="16.5" hidden="false" customHeight="true" outlineLevel="0" collapsed="false">
      <c r="A490" s="45" t="n">
        <v>45703</v>
      </c>
      <c r="B490" s="28" t="s">
        <v>588</v>
      </c>
      <c r="C490" s="46" t="s">
        <v>93</v>
      </c>
      <c r="D490" s="46" t="s">
        <v>81</v>
      </c>
      <c r="E490" s="28" t="n">
        <v>2</v>
      </c>
      <c r="F490" s="47" t="n">
        <v>3</v>
      </c>
      <c r="G490" s="28" t="n">
        <v>5</v>
      </c>
      <c r="H490" s="28" t="n">
        <v>12</v>
      </c>
      <c r="I490" s="47" t="n">
        <f aca="false">E490*F490*(1-G490/100)*(1+H490/100)</f>
        <v>6.384</v>
      </c>
      <c r="J490" s="28" t="s">
        <v>26</v>
      </c>
      <c r="K490" s="28" t="s">
        <v>82</v>
      </c>
      <c r="L490" s="46" t="s">
        <v>94</v>
      </c>
      <c r="M490" s="47" t="n">
        <f aca="false">F490*(1-G490/100)-1.5</f>
        <v>1.35</v>
      </c>
      <c r="N490" s="47" t="n">
        <f aca="false">M490*E490</f>
        <v>2.7</v>
      </c>
    </row>
    <row r="491" customFormat="false" ht="16.5" hidden="false" customHeight="true" outlineLevel="0" collapsed="false">
      <c r="A491" s="42" t="n">
        <v>45703</v>
      </c>
      <c r="B491" s="24" t="s">
        <v>589</v>
      </c>
      <c r="C491" s="43" t="s">
        <v>113</v>
      </c>
      <c r="D491" s="43" t="s">
        <v>96</v>
      </c>
      <c r="E491" s="24" t="n">
        <v>1</v>
      </c>
      <c r="F491" s="44" t="n">
        <v>6</v>
      </c>
      <c r="G491" s="24" t="n">
        <v>10</v>
      </c>
      <c r="H491" s="24" t="n">
        <v>12</v>
      </c>
      <c r="I491" s="44" t="n">
        <f aca="false">E491*F491*(1-G491/100)*(1+H491/100)</f>
        <v>6.048</v>
      </c>
      <c r="J491" s="24" t="s">
        <v>26</v>
      </c>
      <c r="K491" s="24" t="s">
        <v>85</v>
      </c>
      <c r="L491" s="43" t="s">
        <v>89</v>
      </c>
      <c r="M491" s="44" t="n">
        <f aca="false">F491*(1-G491/100)-2.8</f>
        <v>2.6</v>
      </c>
      <c r="N491" s="44" t="n">
        <f aca="false">M491*E491</f>
        <v>2.6</v>
      </c>
    </row>
    <row r="492" customFormat="false" ht="16.5" hidden="false" customHeight="true" outlineLevel="0" collapsed="false">
      <c r="A492" s="45" t="n">
        <v>45703</v>
      </c>
      <c r="B492" s="28" t="s">
        <v>590</v>
      </c>
      <c r="C492" s="46" t="s">
        <v>113</v>
      </c>
      <c r="D492" s="46" t="s">
        <v>96</v>
      </c>
      <c r="E492" s="28" t="n">
        <v>4</v>
      </c>
      <c r="F492" s="47" t="n">
        <v>6</v>
      </c>
      <c r="G492" s="28" t="n">
        <v>0</v>
      </c>
      <c r="H492" s="28" t="n">
        <v>12</v>
      </c>
      <c r="I492" s="47" t="n">
        <f aca="false">E492*F492*(1-G492/100)*(1+H492/100)</f>
        <v>26.88</v>
      </c>
      <c r="J492" s="28" t="s">
        <v>26</v>
      </c>
      <c r="K492" s="28" t="s">
        <v>82</v>
      </c>
      <c r="L492" s="46" t="s">
        <v>122</v>
      </c>
      <c r="M492" s="47" t="n">
        <f aca="false">F492*(1-G492/100)-2.8</f>
        <v>3.2</v>
      </c>
      <c r="N492" s="47" t="n">
        <f aca="false">M492*E492</f>
        <v>12.8</v>
      </c>
    </row>
    <row r="493" customFormat="false" ht="16.5" hidden="false" customHeight="true" outlineLevel="0" collapsed="false">
      <c r="A493" s="42" t="n">
        <v>45703</v>
      </c>
      <c r="B493" s="24" t="s">
        <v>591</v>
      </c>
      <c r="C493" s="43" t="s">
        <v>27</v>
      </c>
      <c r="D493" s="43" t="s">
        <v>81</v>
      </c>
      <c r="E493" s="24" t="n">
        <v>5</v>
      </c>
      <c r="F493" s="44" t="n">
        <v>4.5</v>
      </c>
      <c r="G493" s="24" t="n">
        <v>0</v>
      </c>
      <c r="H493" s="24" t="n">
        <v>12</v>
      </c>
      <c r="I493" s="44" t="n">
        <f aca="false">E493*F493*(1-G493/100)*(1+H493/100)</f>
        <v>25.2</v>
      </c>
      <c r="J493" s="24" t="s">
        <v>34</v>
      </c>
      <c r="K493" s="24" t="s">
        <v>82</v>
      </c>
      <c r="L493" s="43" t="s">
        <v>106</v>
      </c>
      <c r="M493" s="44" t="n">
        <f aca="false">F493*(1-G493/100)-2.8</f>
        <v>1.7</v>
      </c>
      <c r="N493" s="44" t="n">
        <f aca="false">M493*E493</f>
        <v>8.5</v>
      </c>
    </row>
    <row r="494" customFormat="false" ht="16.5" hidden="false" customHeight="true" outlineLevel="0" collapsed="false">
      <c r="A494" s="45" t="n">
        <v>45703</v>
      </c>
      <c r="B494" s="28" t="s">
        <v>592</v>
      </c>
      <c r="C494" s="46" t="s">
        <v>36</v>
      </c>
      <c r="D494" s="46" t="s">
        <v>96</v>
      </c>
      <c r="E494" s="28" t="n">
        <v>2</v>
      </c>
      <c r="F494" s="47" t="n">
        <v>8.5</v>
      </c>
      <c r="G494" s="28" t="n">
        <v>5</v>
      </c>
      <c r="H494" s="28" t="n">
        <v>12</v>
      </c>
      <c r="I494" s="47" t="n">
        <f aca="false">E494*F494*(1-G494/100)*(1+H494/100)</f>
        <v>18.088</v>
      </c>
      <c r="J494" s="28" t="s">
        <v>24</v>
      </c>
      <c r="K494" s="28" t="s">
        <v>97</v>
      </c>
      <c r="L494" s="46" t="s">
        <v>111</v>
      </c>
      <c r="M494" s="47" t="n">
        <f aca="false">F494*(1-G494/100)-4.2</f>
        <v>3.875</v>
      </c>
      <c r="N494" s="47" t="n">
        <f aca="false">M494*E494</f>
        <v>7.75</v>
      </c>
    </row>
    <row r="495" customFormat="false" ht="16.5" hidden="false" customHeight="true" outlineLevel="0" collapsed="false">
      <c r="A495" s="42" t="n">
        <v>45703</v>
      </c>
      <c r="B495" s="24" t="s">
        <v>593</v>
      </c>
      <c r="C495" s="43" t="s">
        <v>124</v>
      </c>
      <c r="D495" s="43" t="s">
        <v>96</v>
      </c>
      <c r="E495" s="24" t="n">
        <v>3</v>
      </c>
      <c r="F495" s="44" t="n">
        <v>4</v>
      </c>
      <c r="G495" s="24" t="n">
        <v>10</v>
      </c>
      <c r="H495" s="24" t="n">
        <v>12</v>
      </c>
      <c r="I495" s="44" t="n">
        <f aca="false">E495*F495*(1-G495/100)*(1+H495/100)</f>
        <v>12.096</v>
      </c>
      <c r="J495" s="24" t="s">
        <v>32</v>
      </c>
      <c r="K495" s="24" t="s">
        <v>88</v>
      </c>
      <c r="L495" s="43" t="s">
        <v>94</v>
      </c>
      <c r="M495" s="44" t="n">
        <f aca="false">F495*(1-G495/100)-1.8</f>
        <v>1.8</v>
      </c>
      <c r="N495" s="44" t="n">
        <f aca="false">M495*E495</f>
        <v>5.4</v>
      </c>
    </row>
    <row r="496" customFormat="false" ht="16.5" hidden="false" customHeight="true" outlineLevel="0" collapsed="false">
      <c r="A496" s="45" t="n">
        <v>45703</v>
      </c>
      <c r="B496" s="28" t="s">
        <v>594</v>
      </c>
      <c r="C496" s="46" t="s">
        <v>109</v>
      </c>
      <c r="D496" s="46" t="s">
        <v>110</v>
      </c>
      <c r="E496" s="28" t="n">
        <v>1</v>
      </c>
      <c r="F496" s="47" t="n">
        <v>3.5</v>
      </c>
      <c r="G496" s="28" t="n">
        <v>0</v>
      </c>
      <c r="H496" s="28" t="n">
        <v>12</v>
      </c>
      <c r="I496" s="47" t="n">
        <f aca="false">E496*F496*(1-G496/100)*(1+H496/100)</f>
        <v>3.92</v>
      </c>
      <c r="J496" s="28" t="s">
        <v>28</v>
      </c>
      <c r="K496" s="28" t="s">
        <v>85</v>
      </c>
      <c r="L496" s="46" t="s">
        <v>89</v>
      </c>
      <c r="M496" s="47" t="n">
        <f aca="false">F496*(1-G496/100)-1.4</f>
        <v>2.1</v>
      </c>
      <c r="N496" s="47" t="n">
        <f aca="false">M496*E496</f>
        <v>2.1</v>
      </c>
    </row>
    <row r="497" customFormat="false" ht="16.5" hidden="false" customHeight="true" outlineLevel="0" collapsed="false">
      <c r="A497" s="42" t="n">
        <v>45703</v>
      </c>
      <c r="B497" s="24" t="s">
        <v>595</v>
      </c>
      <c r="C497" s="43" t="s">
        <v>29</v>
      </c>
      <c r="D497" s="43" t="s">
        <v>104</v>
      </c>
      <c r="E497" s="24" t="n">
        <v>3</v>
      </c>
      <c r="F497" s="44" t="n">
        <v>2.5</v>
      </c>
      <c r="G497" s="24" t="n">
        <v>10</v>
      </c>
      <c r="H497" s="24" t="n">
        <v>12</v>
      </c>
      <c r="I497" s="44" t="n">
        <f aca="false">E497*F497*(1-G497/100)*(1+H497/100)</f>
        <v>7.56</v>
      </c>
      <c r="J497" s="24" t="s">
        <v>34</v>
      </c>
      <c r="K497" s="24" t="s">
        <v>101</v>
      </c>
      <c r="L497" s="43" t="s">
        <v>83</v>
      </c>
      <c r="M497" s="44" t="n">
        <f aca="false">F497*(1-G497/100)-1.1</f>
        <v>1.15</v>
      </c>
      <c r="N497" s="44" t="n">
        <f aca="false">M497*E497</f>
        <v>3.45</v>
      </c>
    </row>
    <row r="498" customFormat="false" ht="16.5" hidden="false" customHeight="true" outlineLevel="0" collapsed="false">
      <c r="A498" s="45" t="n">
        <v>45703</v>
      </c>
      <c r="B498" s="28" t="s">
        <v>596</v>
      </c>
      <c r="C498" s="46" t="s">
        <v>36</v>
      </c>
      <c r="D498" s="46" t="s">
        <v>96</v>
      </c>
      <c r="E498" s="28" t="n">
        <v>1</v>
      </c>
      <c r="F498" s="47" t="n">
        <v>8.5</v>
      </c>
      <c r="G498" s="28" t="n">
        <v>0</v>
      </c>
      <c r="H498" s="28" t="n">
        <v>12</v>
      </c>
      <c r="I498" s="47" t="n">
        <f aca="false">E498*F498*(1-G498/100)*(1+H498/100)</f>
        <v>9.52</v>
      </c>
      <c r="J498" s="28" t="s">
        <v>28</v>
      </c>
      <c r="K498" s="28" t="s">
        <v>101</v>
      </c>
      <c r="L498" s="46" t="s">
        <v>83</v>
      </c>
      <c r="M498" s="47" t="n">
        <f aca="false">F498*(1-G498/100)-4.2</f>
        <v>4.3</v>
      </c>
      <c r="N498" s="47" t="n">
        <f aca="false">M498*E498</f>
        <v>4.3</v>
      </c>
    </row>
    <row r="499" customFormat="false" ht="16.5" hidden="false" customHeight="true" outlineLevel="0" collapsed="false">
      <c r="A499" s="42" t="n">
        <v>45703</v>
      </c>
      <c r="B499" s="24" t="s">
        <v>597</v>
      </c>
      <c r="C499" s="43" t="s">
        <v>36</v>
      </c>
      <c r="D499" s="43" t="s">
        <v>96</v>
      </c>
      <c r="E499" s="24" t="n">
        <v>2</v>
      </c>
      <c r="F499" s="44" t="n">
        <v>8.5</v>
      </c>
      <c r="G499" s="24" t="n">
        <v>10</v>
      </c>
      <c r="H499" s="24" t="n">
        <v>12</v>
      </c>
      <c r="I499" s="44" t="n">
        <f aca="false">E499*F499*(1-G499/100)*(1+H499/100)</f>
        <v>17.136</v>
      </c>
      <c r="J499" s="24" t="s">
        <v>32</v>
      </c>
      <c r="K499" s="24" t="s">
        <v>85</v>
      </c>
      <c r="L499" s="43" t="s">
        <v>89</v>
      </c>
      <c r="M499" s="44" t="n">
        <f aca="false">F499*(1-G499/100)-4.2</f>
        <v>3.45</v>
      </c>
      <c r="N499" s="44" t="n">
        <f aca="false">M499*E499</f>
        <v>6.9</v>
      </c>
    </row>
    <row r="500" customFormat="false" ht="16.5" hidden="false" customHeight="true" outlineLevel="0" collapsed="false">
      <c r="A500" s="45" t="n">
        <v>45703</v>
      </c>
      <c r="B500" s="28" t="s">
        <v>598</v>
      </c>
      <c r="C500" s="46" t="s">
        <v>29</v>
      </c>
      <c r="D500" s="46" t="s">
        <v>104</v>
      </c>
      <c r="E500" s="28" t="n">
        <v>5</v>
      </c>
      <c r="F500" s="47" t="n">
        <v>2.5</v>
      </c>
      <c r="G500" s="28" t="n">
        <v>5</v>
      </c>
      <c r="H500" s="28" t="n">
        <v>12</v>
      </c>
      <c r="I500" s="47" t="n">
        <f aca="false">E500*F500*(1-G500/100)*(1+H500/100)</f>
        <v>13.3</v>
      </c>
      <c r="J500" s="28" t="s">
        <v>32</v>
      </c>
      <c r="K500" s="28" t="s">
        <v>82</v>
      </c>
      <c r="L500" s="46" t="s">
        <v>111</v>
      </c>
      <c r="M500" s="47" t="n">
        <f aca="false">F500*(1-G500/100)-1.1</f>
        <v>1.275</v>
      </c>
      <c r="N500" s="47" t="n">
        <f aca="false">M500*E500</f>
        <v>6.375</v>
      </c>
    </row>
    <row r="501" customFormat="false" ht="16.5" hidden="false" customHeight="true" outlineLevel="0" collapsed="false">
      <c r="A501" s="42" t="n">
        <v>45703</v>
      </c>
      <c r="B501" s="24" t="s">
        <v>599</v>
      </c>
      <c r="C501" s="43" t="s">
        <v>124</v>
      </c>
      <c r="D501" s="43" t="s">
        <v>96</v>
      </c>
      <c r="E501" s="24" t="n">
        <v>2</v>
      </c>
      <c r="F501" s="44" t="n">
        <v>4</v>
      </c>
      <c r="G501" s="24" t="n">
        <v>10</v>
      </c>
      <c r="H501" s="24" t="n">
        <v>12</v>
      </c>
      <c r="I501" s="44" t="n">
        <f aca="false">E501*F501*(1-G501/100)*(1+H501/100)</f>
        <v>8.064</v>
      </c>
      <c r="J501" s="24" t="s">
        <v>26</v>
      </c>
      <c r="K501" s="24" t="s">
        <v>85</v>
      </c>
      <c r="L501" s="43" t="s">
        <v>122</v>
      </c>
      <c r="M501" s="44" t="n">
        <f aca="false">F501*(1-G501/100)-1.8</f>
        <v>1.8</v>
      </c>
      <c r="N501" s="44" t="n">
        <f aca="false">M501*E501</f>
        <v>3.6</v>
      </c>
    </row>
    <row r="502" customFormat="false" ht="16.5" hidden="false" customHeight="true" outlineLevel="0" collapsed="false">
      <c r="A502" s="45" t="n">
        <v>45704</v>
      </c>
      <c r="B502" s="28" t="s">
        <v>600</v>
      </c>
      <c r="C502" s="46" t="s">
        <v>29</v>
      </c>
      <c r="D502" s="46" t="s">
        <v>104</v>
      </c>
      <c r="E502" s="28" t="n">
        <v>3</v>
      </c>
      <c r="F502" s="47" t="n">
        <v>2.5</v>
      </c>
      <c r="G502" s="28" t="n">
        <v>5</v>
      </c>
      <c r="H502" s="28" t="n">
        <v>12</v>
      </c>
      <c r="I502" s="47" t="n">
        <f aca="false">E502*F502*(1-G502/100)*(1+H502/100)</f>
        <v>7.98</v>
      </c>
      <c r="J502" s="28" t="s">
        <v>34</v>
      </c>
      <c r="K502" s="28" t="s">
        <v>101</v>
      </c>
      <c r="L502" s="46" t="s">
        <v>106</v>
      </c>
      <c r="M502" s="47" t="n">
        <f aca="false">F502*(1-G502/100)-1.1</f>
        <v>1.275</v>
      </c>
      <c r="N502" s="47" t="n">
        <f aca="false">M502*E502</f>
        <v>3.825</v>
      </c>
    </row>
    <row r="503" customFormat="false" ht="16.5" hidden="false" customHeight="true" outlineLevel="0" collapsed="false">
      <c r="A503" s="42" t="n">
        <v>45704</v>
      </c>
      <c r="B503" s="24" t="s">
        <v>601</v>
      </c>
      <c r="C503" s="43" t="s">
        <v>25</v>
      </c>
      <c r="D503" s="43" t="s">
        <v>81</v>
      </c>
      <c r="E503" s="24" t="n">
        <v>4</v>
      </c>
      <c r="F503" s="44" t="n">
        <v>3.5</v>
      </c>
      <c r="G503" s="24" t="n">
        <v>0</v>
      </c>
      <c r="H503" s="24" t="n">
        <v>12</v>
      </c>
      <c r="I503" s="44" t="n">
        <f aca="false">E503*F503*(1-G503/100)*(1+H503/100)</f>
        <v>15.68</v>
      </c>
      <c r="J503" s="24" t="s">
        <v>26</v>
      </c>
      <c r="K503" s="24" t="s">
        <v>85</v>
      </c>
      <c r="L503" s="43" t="s">
        <v>117</v>
      </c>
      <c r="M503" s="44" t="n">
        <f aca="false">F503*(1-G503/100)-2.2</f>
        <v>1.3</v>
      </c>
      <c r="N503" s="44" t="n">
        <f aca="false">M503*E503</f>
        <v>5.2</v>
      </c>
    </row>
    <row r="504" customFormat="false" ht="16.5" hidden="false" customHeight="true" outlineLevel="0" collapsed="false">
      <c r="A504" s="45" t="n">
        <v>45704</v>
      </c>
      <c r="B504" s="28" t="s">
        <v>602</v>
      </c>
      <c r="C504" s="46" t="s">
        <v>124</v>
      </c>
      <c r="D504" s="46" t="s">
        <v>96</v>
      </c>
      <c r="E504" s="28" t="n">
        <v>4</v>
      </c>
      <c r="F504" s="47" t="n">
        <v>4</v>
      </c>
      <c r="G504" s="28" t="n">
        <v>5</v>
      </c>
      <c r="H504" s="28" t="n">
        <v>12</v>
      </c>
      <c r="I504" s="47" t="n">
        <f aca="false">E504*F504*(1-G504/100)*(1+H504/100)</f>
        <v>17.024</v>
      </c>
      <c r="J504" s="28" t="s">
        <v>32</v>
      </c>
      <c r="K504" s="28" t="s">
        <v>85</v>
      </c>
      <c r="L504" s="46" t="s">
        <v>111</v>
      </c>
      <c r="M504" s="47" t="n">
        <f aca="false">F504*(1-G504/100)-1.8</f>
        <v>2</v>
      </c>
      <c r="N504" s="47" t="n">
        <f aca="false">M504*E504</f>
        <v>8</v>
      </c>
    </row>
    <row r="505" customFormat="false" ht="16.5" hidden="false" customHeight="true" outlineLevel="0" collapsed="false">
      <c r="A505" s="42" t="n">
        <v>45704</v>
      </c>
      <c r="B505" s="24" t="s">
        <v>603</v>
      </c>
      <c r="C505" s="43" t="s">
        <v>93</v>
      </c>
      <c r="D505" s="43" t="s">
        <v>81</v>
      </c>
      <c r="E505" s="24" t="n">
        <v>2</v>
      </c>
      <c r="F505" s="44" t="n">
        <v>3</v>
      </c>
      <c r="G505" s="24" t="n">
        <v>0</v>
      </c>
      <c r="H505" s="24" t="n">
        <v>12</v>
      </c>
      <c r="I505" s="44" t="n">
        <f aca="false">E505*F505*(1-G505/100)*(1+H505/100)</f>
        <v>6.72</v>
      </c>
      <c r="J505" s="24" t="s">
        <v>34</v>
      </c>
      <c r="K505" s="24" t="s">
        <v>101</v>
      </c>
      <c r="L505" s="43" t="s">
        <v>91</v>
      </c>
      <c r="M505" s="44" t="n">
        <f aca="false">F505*(1-G505/100)-1.5</f>
        <v>1.5</v>
      </c>
      <c r="N505" s="44" t="n">
        <f aca="false">M505*E505</f>
        <v>3</v>
      </c>
    </row>
    <row r="506" customFormat="false" ht="16.5" hidden="false" customHeight="true" outlineLevel="0" collapsed="false">
      <c r="A506" s="45" t="n">
        <v>45704</v>
      </c>
      <c r="B506" s="28" t="s">
        <v>604</v>
      </c>
      <c r="C506" s="46" t="s">
        <v>35</v>
      </c>
      <c r="D506" s="46" t="s">
        <v>81</v>
      </c>
      <c r="E506" s="28" t="n">
        <v>1</v>
      </c>
      <c r="F506" s="47" t="n">
        <v>1.5</v>
      </c>
      <c r="G506" s="28" t="n">
        <v>0</v>
      </c>
      <c r="H506" s="28" t="n">
        <v>12</v>
      </c>
      <c r="I506" s="47" t="n">
        <f aca="false">E506*F506*(1-G506/100)*(1+H506/100)</f>
        <v>1.68</v>
      </c>
      <c r="J506" s="28" t="s">
        <v>26</v>
      </c>
      <c r="K506" s="28" t="s">
        <v>88</v>
      </c>
      <c r="L506" s="46" t="s">
        <v>122</v>
      </c>
      <c r="M506" s="47" t="n">
        <f aca="false">F506*(1-G506/100)-0.6</f>
        <v>0.9</v>
      </c>
      <c r="N506" s="47" t="n">
        <f aca="false">M506*E506</f>
        <v>0.9</v>
      </c>
    </row>
    <row r="507" customFormat="false" ht="16.5" hidden="false" customHeight="true" outlineLevel="0" collapsed="false">
      <c r="A507" s="42" t="n">
        <v>45704</v>
      </c>
      <c r="B507" s="24" t="s">
        <v>605</v>
      </c>
      <c r="C507" s="43" t="s">
        <v>29</v>
      </c>
      <c r="D507" s="43" t="s">
        <v>104</v>
      </c>
      <c r="E507" s="24" t="n">
        <v>4</v>
      </c>
      <c r="F507" s="44" t="n">
        <v>2.5</v>
      </c>
      <c r="G507" s="24" t="n">
        <v>10</v>
      </c>
      <c r="H507" s="24" t="n">
        <v>12</v>
      </c>
      <c r="I507" s="44" t="n">
        <f aca="false">E507*F507*(1-G507/100)*(1+H507/100)</f>
        <v>10.08</v>
      </c>
      <c r="J507" s="24" t="s">
        <v>32</v>
      </c>
      <c r="K507" s="24" t="s">
        <v>88</v>
      </c>
      <c r="L507" s="43" t="s">
        <v>117</v>
      </c>
      <c r="M507" s="44" t="n">
        <f aca="false">F507*(1-G507/100)-1.1</f>
        <v>1.15</v>
      </c>
      <c r="N507" s="44" t="n">
        <f aca="false">M507*E507</f>
        <v>4.6</v>
      </c>
    </row>
    <row r="508" customFormat="false" ht="16.5" hidden="false" customHeight="true" outlineLevel="0" collapsed="false">
      <c r="A508" s="45" t="n">
        <v>45704</v>
      </c>
      <c r="B508" s="28" t="s">
        <v>606</v>
      </c>
      <c r="C508" s="46" t="s">
        <v>27</v>
      </c>
      <c r="D508" s="46" t="s">
        <v>81</v>
      </c>
      <c r="E508" s="28" t="n">
        <v>5</v>
      </c>
      <c r="F508" s="47" t="n">
        <v>4.5</v>
      </c>
      <c r="G508" s="28" t="n">
        <v>0</v>
      </c>
      <c r="H508" s="28" t="n">
        <v>12</v>
      </c>
      <c r="I508" s="47" t="n">
        <f aca="false">E508*F508*(1-G508/100)*(1+H508/100)</f>
        <v>25.2</v>
      </c>
      <c r="J508" s="28" t="s">
        <v>28</v>
      </c>
      <c r="K508" s="28" t="s">
        <v>88</v>
      </c>
      <c r="L508" s="46" t="s">
        <v>106</v>
      </c>
      <c r="M508" s="47" t="n">
        <f aca="false">F508*(1-G508/100)-2.8</f>
        <v>1.7</v>
      </c>
      <c r="N508" s="47" t="n">
        <f aca="false">M508*E508</f>
        <v>8.5</v>
      </c>
    </row>
    <row r="509" customFormat="false" ht="16.5" hidden="false" customHeight="true" outlineLevel="0" collapsed="false">
      <c r="A509" s="42" t="n">
        <v>45705</v>
      </c>
      <c r="B509" s="24" t="s">
        <v>607</v>
      </c>
      <c r="C509" s="43" t="s">
        <v>25</v>
      </c>
      <c r="D509" s="43" t="s">
        <v>81</v>
      </c>
      <c r="E509" s="24" t="n">
        <v>4</v>
      </c>
      <c r="F509" s="44" t="n">
        <v>3.5</v>
      </c>
      <c r="G509" s="24" t="n">
        <v>10</v>
      </c>
      <c r="H509" s="24" t="n">
        <v>12</v>
      </c>
      <c r="I509" s="44" t="n">
        <f aca="false">E509*F509*(1-G509/100)*(1+H509/100)</f>
        <v>14.112</v>
      </c>
      <c r="J509" s="24" t="s">
        <v>26</v>
      </c>
      <c r="K509" s="24" t="s">
        <v>85</v>
      </c>
      <c r="L509" s="43" t="s">
        <v>98</v>
      </c>
      <c r="M509" s="44" t="n">
        <f aca="false">F509*(1-G509/100)-2.2</f>
        <v>0.95</v>
      </c>
      <c r="N509" s="44" t="n">
        <f aca="false">M509*E509</f>
        <v>3.8</v>
      </c>
    </row>
    <row r="510" customFormat="false" ht="16.5" hidden="false" customHeight="true" outlineLevel="0" collapsed="false">
      <c r="A510" s="45" t="n">
        <v>45705</v>
      </c>
      <c r="B510" s="28" t="s">
        <v>608</v>
      </c>
      <c r="C510" s="46" t="s">
        <v>33</v>
      </c>
      <c r="D510" s="46" t="s">
        <v>104</v>
      </c>
      <c r="E510" s="28" t="n">
        <v>3</v>
      </c>
      <c r="F510" s="47" t="n">
        <v>5</v>
      </c>
      <c r="G510" s="28" t="n">
        <v>0</v>
      </c>
      <c r="H510" s="28" t="n">
        <v>12</v>
      </c>
      <c r="I510" s="47" t="n">
        <f aca="false">E510*F510*(1-G510/100)*(1+H510/100)</f>
        <v>16.8</v>
      </c>
      <c r="J510" s="28" t="s">
        <v>32</v>
      </c>
      <c r="K510" s="28" t="s">
        <v>97</v>
      </c>
      <c r="L510" s="46" t="s">
        <v>106</v>
      </c>
      <c r="M510" s="47" t="n">
        <f aca="false">F510*(1-G510/100)-2.5</f>
        <v>2.5</v>
      </c>
      <c r="N510" s="47" t="n">
        <f aca="false">M510*E510</f>
        <v>7.5</v>
      </c>
    </row>
    <row r="511" customFormat="false" ht="16.5" hidden="false" customHeight="true" outlineLevel="0" collapsed="false">
      <c r="A511" s="42" t="n">
        <v>45705</v>
      </c>
      <c r="B511" s="24" t="s">
        <v>609</v>
      </c>
      <c r="C511" s="43" t="s">
        <v>27</v>
      </c>
      <c r="D511" s="43" t="s">
        <v>81</v>
      </c>
      <c r="E511" s="24" t="n">
        <v>4</v>
      </c>
      <c r="F511" s="44" t="n">
        <v>4.5</v>
      </c>
      <c r="G511" s="24" t="n">
        <v>0</v>
      </c>
      <c r="H511" s="24" t="n">
        <v>12</v>
      </c>
      <c r="I511" s="44" t="n">
        <f aca="false">E511*F511*(1-G511/100)*(1+H511/100)</f>
        <v>20.16</v>
      </c>
      <c r="J511" s="24" t="s">
        <v>26</v>
      </c>
      <c r="K511" s="24" t="s">
        <v>82</v>
      </c>
      <c r="L511" s="43" t="s">
        <v>89</v>
      </c>
      <c r="M511" s="44" t="n">
        <f aca="false">F511*(1-G511/100)-2.8</f>
        <v>1.7</v>
      </c>
      <c r="N511" s="44" t="n">
        <f aca="false">M511*E511</f>
        <v>6.8</v>
      </c>
    </row>
    <row r="512" customFormat="false" ht="16.5" hidden="false" customHeight="true" outlineLevel="0" collapsed="false">
      <c r="A512" s="45" t="n">
        <v>45705</v>
      </c>
      <c r="B512" s="28" t="s">
        <v>610</v>
      </c>
      <c r="C512" s="46" t="s">
        <v>36</v>
      </c>
      <c r="D512" s="46" t="s">
        <v>96</v>
      </c>
      <c r="E512" s="28" t="n">
        <v>5</v>
      </c>
      <c r="F512" s="47" t="n">
        <v>8.5</v>
      </c>
      <c r="G512" s="28" t="n">
        <v>5</v>
      </c>
      <c r="H512" s="28" t="n">
        <v>12</v>
      </c>
      <c r="I512" s="47" t="n">
        <f aca="false">E512*F512*(1-G512/100)*(1+H512/100)</f>
        <v>45.22</v>
      </c>
      <c r="J512" s="28" t="s">
        <v>26</v>
      </c>
      <c r="K512" s="28" t="s">
        <v>88</v>
      </c>
      <c r="L512" s="46" t="s">
        <v>83</v>
      </c>
      <c r="M512" s="47" t="n">
        <f aca="false">F512*(1-G512/100)-4.2</f>
        <v>3.875</v>
      </c>
      <c r="N512" s="47" t="n">
        <f aca="false">M512*E512</f>
        <v>19.375</v>
      </c>
    </row>
    <row r="513" customFormat="false" ht="16.5" hidden="false" customHeight="true" outlineLevel="0" collapsed="false">
      <c r="A513" s="42" t="n">
        <v>45705</v>
      </c>
      <c r="B513" s="24" t="s">
        <v>611</v>
      </c>
      <c r="C513" s="43" t="s">
        <v>33</v>
      </c>
      <c r="D513" s="43" t="s">
        <v>104</v>
      </c>
      <c r="E513" s="24" t="n">
        <v>2</v>
      </c>
      <c r="F513" s="44" t="n">
        <v>5</v>
      </c>
      <c r="G513" s="24" t="n">
        <v>0</v>
      </c>
      <c r="H513" s="24" t="n">
        <v>12</v>
      </c>
      <c r="I513" s="44" t="n">
        <f aca="false">E513*F513*(1-G513/100)*(1+H513/100)</f>
        <v>11.2</v>
      </c>
      <c r="J513" s="24" t="s">
        <v>34</v>
      </c>
      <c r="K513" s="24" t="s">
        <v>97</v>
      </c>
      <c r="L513" s="43" t="s">
        <v>117</v>
      </c>
      <c r="M513" s="44" t="n">
        <f aca="false">F513*(1-G513/100)-2.5</f>
        <v>2.5</v>
      </c>
      <c r="N513" s="44" t="n">
        <f aca="false">M513*E513</f>
        <v>5</v>
      </c>
    </row>
    <row r="514" customFormat="false" ht="16.5" hidden="false" customHeight="true" outlineLevel="0" collapsed="false">
      <c r="A514" s="45" t="n">
        <v>45705</v>
      </c>
      <c r="B514" s="28" t="s">
        <v>612</v>
      </c>
      <c r="C514" s="46" t="s">
        <v>35</v>
      </c>
      <c r="D514" s="46" t="s">
        <v>81</v>
      </c>
      <c r="E514" s="28" t="n">
        <v>5</v>
      </c>
      <c r="F514" s="47" t="n">
        <v>1.5</v>
      </c>
      <c r="G514" s="28" t="n">
        <v>10</v>
      </c>
      <c r="H514" s="28" t="n">
        <v>12</v>
      </c>
      <c r="I514" s="47" t="n">
        <f aca="false">E514*F514*(1-G514/100)*(1+H514/100)</f>
        <v>7.56</v>
      </c>
      <c r="J514" s="28" t="s">
        <v>26</v>
      </c>
      <c r="K514" s="28" t="s">
        <v>97</v>
      </c>
      <c r="L514" s="46" t="s">
        <v>122</v>
      </c>
      <c r="M514" s="47" t="n">
        <f aca="false">F514*(1-G514/100)-0.6</f>
        <v>0.75</v>
      </c>
      <c r="N514" s="47" t="n">
        <f aca="false">M514*E514</f>
        <v>3.75</v>
      </c>
    </row>
    <row r="515" customFormat="false" ht="16.5" hidden="false" customHeight="true" outlineLevel="0" collapsed="false">
      <c r="A515" s="42" t="n">
        <v>45705</v>
      </c>
      <c r="B515" s="24" t="s">
        <v>613</v>
      </c>
      <c r="C515" s="43" t="s">
        <v>35</v>
      </c>
      <c r="D515" s="43" t="s">
        <v>81</v>
      </c>
      <c r="E515" s="24" t="n">
        <v>5</v>
      </c>
      <c r="F515" s="44" t="n">
        <v>1.5</v>
      </c>
      <c r="G515" s="24" t="n">
        <v>0</v>
      </c>
      <c r="H515" s="24" t="n">
        <v>12</v>
      </c>
      <c r="I515" s="44" t="n">
        <f aca="false">E515*F515*(1-G515/100)*(1+H515/100)</f>
        <v>8.4</v>
      </c>
      <c r="J515" s="24" t="s">
        <v>34</v>
      </c>
      <c r="K515" s="24" t="s">
        <v>101</v>
      </c>
      <c r="L515" s="43" t="s">
        <v>83</v>
      </c>
      <c r="M515" s="44" t="n">
        <f aca="false">F515*(1-G515/100)-0.6</f>
        <v>0.9</v>
      </c>
      <c r="N515" s="44" t="n">
        <f aca="false">M515*E515</f>
        <v>4.5</v>
      </c>
    </row>
    <row r="516" customFormat="false" ht="16.5" hidden="false" customHeight="true" outlineLevel="0" collapsed="false">
      <c r="A516" s="45" t="n">
        <v>45705</v>
      </c>
      <c r="B516" s="28" t="s">
        <v>614</v>
      </c>
      <c r="C516" s="46" t="s">
        <v>113</v>
      </c>
      <c r="D516" s="46" t="s">
        <v>96</v>
      </c>
      <c r="E516" s="28" t="n">
        <v>1</v>
      </c>
      <c r="F516" s="47" t="n">
        <v>6</v>
      </c>
      <c r="G516" s="28" t="n">
        <v>0</v>
      </c>
      <c r="H516" s="28" t="n">
        <v>12</v>
      </c>
      <c r="I516" s="47" t="n">
        <f aca="false">E516*F516*(1-G516/100)*(1+H516/100)</f>
        <v>6.72</v>
      </c>
      <c r="J516" s="28" t="s">
        <v>26</v>
      </c>
      <c r="K516" s="28" t="s">
        <v>82</v>
      </c>
      <c r="L516" s="46" t="s">
        <v>91</v>
      </c>
      <c r="M516" s="47" t="n">
        <f aca="false">F516*(1-G516/100)-2.8</f>
        <v>3.2</v>
      </c>
      <c r="N516" s="47" t="n">
        <f aca="false">M516*E516</f>
        <v>3.2</v>
      </c>
    </row>
    <row r="517" customFormat="false" ht="16.5" hidden="false" customHeight="true" outlineLevel="0" collapsed="false">
      <c r="A517" s="42" t="n">
        <v>45705</v>
      </c>
      <c r="B517" s="24" t="s">
        <v>615</v>
      </c>
      <c r="C517" s="43" t="s">
        <v>29</v>
      </c>
      <c r="D517" s="43" t="s">
        <v>104</v>
      </c>
      <c r="E517" s="24" t="n">
        <v>3</v>
      </c>
      <c r="F517" s="44" t="n">
        <v>2.5</v>
      </c>
      <c r="G517" s="24" t="n">
        <v>0</v>
      </c>
      <c r="H517" s="24" t="n">
        <v>12</v>
      </c>
      <c r="I517" s="44" t="n">
        <f aca="false">E517*F517*(1-G517/100)*(1+H517/100)</f>
        <v>8.4</v>
      </c>
      <c r="J517" s="24" t="s">
        <v>32</v>
      </c>
      <c r="K517" s="24" t="s">
        <v>85</v>
      </c>
      <c r="L517" s="43" t="s">
        <v>83</v>
      </c>
      <c r="M517" s="44" t="n">
        <f aca="false">F517*(1-G517/100)-1.1</f>
        <v>1.4</v>
      </c>
      <c r="N517" s="44" t="n">
        <f aca="false">M517*E517</f>
        <v>4.2</v>
      </c>
    </row>
    <row r="518" customFormat="false" ht="16.5" hidden="false" customHeight="true" outlineLevel="0" collapsed="false">
      <c r="A518" s="45" t="n">
        <v>45705</v>
      </c>
      <c r="B518" s="28" t="s">
        <v>616</v>
      </c>
      <c r="C518" s="46" t="s">
        <v>109</v>
      </c>
      <c r="D518" s="46" t="s">
        <v>110</v>
      </c>
      <c r="E518" s="28" t="n">
        <v>3</v>
      </c>
      <c r="F518" s="47" t="n">
        <v>3.5</v>
      </c>
      <c r="G518" s="28" t="n">
        <v>5</v>
      </c>
      <c r="H518" s="28" t="n">
        <v>12</v>
      </c>
      <c r="I518" s="47" t="n">
        <f aca="false">E518*F518*(1-G518/100)*(1+H518/100)</f>
        <v>11.172</v>
      </c>
      <c r="J518" s="28" t="s">
        <v>32</v>
      </c>
      <c r="K518" s="28" t="s">
        <v>85</v>
      </c>
      <c r="L518" s="46" t="s">
        <v>98</v>
      </c>
      <c r="M518" s="47" t="n">
        <f aca="false">F518*(1-G518/100)-1.4</f>
        <v>1.925</v>
      </c>
      <c r="N518" s="47" t="n">
        <f aca="false">M518*E518</f>
        <v>5.775</v>
      </c>
    </row>
    <row r="519" customFormat="false" ht="16.5" hidden="false" customHeight="true" outlineLevel="0" collapsed="false">
      <c r="A519" s="42" t="n">
        <v>45705</v>
      </c>
      <c r="B519" s="24" t="s">
        <v>617</v>
      </c>
      <c r="C519" s="43" t="s">
        <v>27</v>
      </c>
      <c r="D519" s="43" t="s">
        <v>81</v>
      </c>
      <c r="E519" s="24" t="n">
        <v>4</v>
      </c>
      <c r="F519" s="44" t="n">
        <v>4.5</v>
      </c>
      <c r="G519" s="24" t="n">
        <v>10</v>
      </c>
      <c r="H519" s="24" t="n">
        <v>12</v>
      </c>
      <c r="I519" s="44" t="n">
        <f aca="false">E519*F519*(1-G519/100)*(1+H519/100)</f>
        <v>18.144</v>
      </c>
      <c r="J519" s="24" t="s">
        <v>28</v>
      </c>
      <c r="K519" s="24" t="s">
        <v>97</v>
      </c>
      <c r="L519" s="43" t="s">
        <v>111</v>
      </c>
      <c r="M519" s="44" t="n">
        <f aca="false">F519*(1-G519/100)-2.8</f>
        <v>1.25</v>
      </c>
      <c r="N519" s="44" t="n">
        <f aca="false">M519*E519</f>
        <v>5</v>
      </c>
    </row>
    <row r="520" customFormat="false" ht="16.5" hidden="false" customHeight="true" outlineLevel="0" collapsed="false">
      <c r="A520" s="45" t="n">
        <v>45705</v>
      </c>
      <c r="B520" s="28" t="s">
        <v>618</v>
      </c>
      <c r="C520" s="46" t="s">
        <v>93</v>
      </c>
      <c r="D520" s="46" t="s">
        <v>81</v>
      </c>
      <c r="E520" s="28" t="n">
        <v>3</v>
      </c>
      <c r="F520" s="47" t="n">
        <v>3</v>
      </c>
      <c r="G520" s="28" t="n">
        <v>10</v>
      </c>
      <c r="H520" s="28" t="n">
        <v>12</v>
      </c>
      <c r="I520" s="47" t="n">
        <f aca="false">E520*F520*(1-G520/100)*(1+H520/100)</f>
        <v>9.072</v>
      </c>
      <c r="J520" s="28" t="s">
        <v>24</v>
      </c>
      <c r="K520" s="28" t="s">
        <v>101</v>
      </c>
      <c r="L520" s="46" t="s">
        <v>111</v>
      </c>
      <c r="M520" s="47" t="n">
        <f aca="false">F520*(1-G520/100)-1.5</f>
        <v>1.2</v>
      </c>
      <c r="N520" s="47" t="n">
        <f aca="false">M520*E520</f>
        <v>3.6</v>
      </c>
    </row>
    <row r="521" customFormat="false" ht="16.5" hidden="false" customHeight="true" outlineLevel="0" collapsed="false">
      <c r="A521" s="42" t="n">
        <v>45705</v>
      </c>
      <c r="B521" s="24" t="s">
        <v>619</v>
      </c>
      <c r="C521" s="43" t="s">
        <v>36</v>
      </c>
      <c r="D521" s="43" t="s">
        <v>96</v>
      </c>
      <c r="E521" s="24" t="n">
        <v>1</v>
      </c>
      <c r="F521" s="44" t="n">
        <v>8.5</v>
      </c>
      <c r="G521" s="24" t="n">
        <v>10</v>
      </c>
      <c r="H521" s="24" t="n">
        <v>12</v>
      </c>
      <c r="I521" s="44" t="n">
        <f aca="false">E521*F521*(1-G521/100)*(1+H521/100)</f>
        <v>8.568</v>
      </c>
      <c r="J521" s="24" t="s">
        <v>32</v>
      </c>
      <c r="K521" s="24" t="s">
        <v>82</v>
      </c>
      <c r="L521" s="43" t="s">
        <v>94</v>
      </c>
      <c r="M521" s="44" t="n">
        <f aca="false">F521*(1-G521/100)-4.2</f>
        <v>3.45</v>
      </c>
      <c r="N521" s="44" t="n">
        <f aca="false">M521*E521</f>
        <v>3.45</v>
      </c>
    </row>
    <row r="522" customFormat="false" ht="16.5" hidden="false" customHeight="true" outlineLevel="0" collapsed="false">
      <c r="A522" s="45" t="n">
        <v>45706</v>
      </c>
      <c r="B522" s="28" t="s">
        <v>620</v>
      </c>
      <c r="C522" s="46" t="s">
        <v>93</v>
      </c>
      <c r="D522" s="46" t="s">
        <v>81</v>
      </c>
      <c r="E522" s="28" t="n">
        <v>3</v>
      </c>
      <c r="F522" s="47" t="n">
        <v>3</v>
      </c>
      <c r="G522" s="28" t="n">
        <v>0</v>
      </c>
      <c r="H522" s="28" t="n">
        <v>12</v>
      </c>
      <c r="I522" s="47" t="n">
        <f aca="false">E522*F522*(1-G522/100)*(1+H522/100)</f>
        <v>10.08</v>
      </c>
      <c r="J522" s="28" t="s">
        <v>28</v>
      </c>
      <c r="K522" s="28" t="s">
        <v>97</v>
      </c>
      <c r="L522" s="46" t="s">
        <v>117</v>
      </c>
      <c r="M522" s="47" t="n">
        <f aca="false">F522*(1-G522/100)-1.5</f>
        <v>1.5</v>
      </c>
      <c r="N522" s="47" t="n">
        <f aca="false">M522*E522</f>
        <v>4.5</v>
      </c>
    </row>
    <row r="523" customFormat="false" ht="16.5" hidden="false" customHeight="true" outlineLevel="0" collapsed="false">
      <c r="A523" s="42" t="n">
        <v>45706</v>
      </c>
      <c r="B523" s="24" t="s">
        <v>621</v>
      </c>
      <c r="C523" s="43" t="s">
        <v>109</v>
      </c>
      <c r="D523" s="43" t="s">
        <v>110</v>
      </c>
      <c r="E523" s="24" t="n">
        <v>2</v>
      </c>
      <c r="F523" s="44" t="n">
        <v>3.5</v>
      </c>
      <c r="G523" s="24" t="n">
        <v>10</v>
      </c>
      <c r="H523" s="24" t="n">
        <v>12</v>
      </c>
      <c r="I523" s="44" t="n">
        <f aca="false">E523*F523*(1-G523/100)*(1+H523/100)</f>
        <v>7.056</v>
      </c>
      <c r="J523" s="24" t="s">
        <v>32</v>
      </c>
      <c r="K523" s="24" t="s">
        <v>97</v>
      </c>
      <c r="L523" s="43" t="s">
        <v>86</v>
      </c>
      <c r="M523" s="44" t="n">
        <f aca="false">F523*(1-G523/100)-1.4</f>
        <v>1.75</v>
      </c>
      <c r="N523" s="44" t="n">
        <f aca="false">M523*E523</f>
        <v>3.5</v>
      </c>
    </row>
    <row r="524" customFormat="false" ht="16.5" hidden="false" customHeight="true" outlineLevel="0" collapsed="false">
      <c r="A524" s="45" t="n">
        <v>45706</v>
      </c>
      <c r="B524" s="28" t="s">
        <v>622</v>
      </c>
      <c r="C524" s="46" t="s">
        <v>25</v>
      </c>
      <c r="D524" s="46" t="s">
        <v>81</v>
      </c>
      <c r="E524" s="28" t="n">
        <v>1</v>
      </c>
      <c r="F524" s="47" t="n">
        <v>3.5</v>
      </c>
      <c r="G524" s="28" t="n">
        <v>5</v>
      </c>
      <c r="H524" s="28" t="n">
        <v>12</v>
      </c>
      <c r="I524" s="47" t="n">
        <f aca="false">E524*F524*(1-G524/100)*(1+H524/100)</f>
        <v>3.724</v>
      </c>
      <c r="J524" s="28" t="s">
        <v>24</v>
      </c>
      <c r="K524" s="28" t="s">
        <v>101</v>
      </c>
      <c r="L524" s="46" t="s">
        <v>83</v>
      </c>
      <c r="M524" s="47" t="n">
        <f aca="false">F524*(1-G524/100)-2.2</f>
        <v>1.125</v>
      </c>
      <c r="N524" s="47" t="n">
        <f aca="false">M524*E524</f>
        <v>1.125</v>
      </c>
    </row>
    <row r="525" customFormat="false" ht="16.5" hidden="false" customHeight="true" outlineLevel="0" collapsed="false">
      <c r="A525" s="42" t="n">
        <v>45706</v>
      </c>
      <c r="B525" s="24" t="s">
        <v>623</v>
      </c>
      <c r="C525" s="43" t="s">
        <v>93</v>
      </c>
      <c r="D525" s="43" t="s">
        <v>81</v>
      </c>
      <c r="E525" s="24" t="n">
        <v>4</v>
      </c>
      <c r="F525" s="44" t="n">
        <v>3</v>
      </c>
      <c r="G525" s="24" t="n">
        <v>0</v>
      </c>
      <c r="H525" s="24" t="n">
        <v>12</v>
      </c>
      <c r="I525" s="44" t="n">
        <f aca="false">E525*F525*(1-G525/100)*(1+H525/100)</f>
        <v>13.44</v>
      </c>
      <c r="J525" s="24" t="s">
        <v>32</v>
      </c>
      <c r="K525" s="24" t="s">
        <v>82</v>
      </c>
      <c r="L525" s="43" t="s">
        <v>83</v>
      </c>
      <c r="M525" s="44" t="n">
        <f aca="false">F525*(1-G525/100)-1.5</f>
        <v>1.5</v>
      </c>
      <c r="N525" s="44" t="n">
        <f aca="false">M525*E525</f>
        <v>6</v>
      </c>
    </row>
    <row r="526" customFormat="false" ht="16.5" hidden="false" customHeight="true" outlineLevel="0" collapsed="false">
      <c r="A526" s="45" t="n">
        <v>45706</v>
      </c>
      <c r="B526" s="28" t="s">
        <v>624</v>
      </c>
      <c r="C526" s="46" t="s">
        <v>35</v>
      </c>
      <c r="D526" s="46" t="s">
        <v>81</v>
      </c>
      <c r="E526" s="28" t="n">
        <v>2</v>
      </c>
      <c r="F526" s="47" t="n">
        <v>1.5</v>
      </c>
      <c r="G526" s="28" t="n">
        <v>0</v>
      </c>
      <c r="H526" s="28" t="n">
        <v>12</v>
      </c>
      <c r="I526" s="47" t="n">
        <f aca="false">E526*F526*(1-G526/100)*(1+H526/100)</f>
        <v>3.36</v>
      </c>
      <c r="J526" s="28" t="s">
        <v>24</v>
      </c>
      <c r="K526" s="28" t="s">
        <v>97</v>
      </c>
      <c r="L526" s="46" t="s">
        <v>122</v>
      </c>
      <c r="M526" s="47" t="n">
        <f aca="false">F526*(1-G526/100)-0.6</f>
        <v>0.9</v>
      </c>
      <c r="N526" s="47" t="n">
        <f aca="false">M526*E526</f>
        <v>1.8</v>
      </c>
    </row>
    <row r="527" customFormat="false" ht="16.5" hidden="false" customHeight="true" outlineLevel="0" collapsed="false">
      <c r="A527" s="42" t="n">
        <v>45706</v>
      </c>
      <c r="B527" s="24" t="s">
        <v>625</v>
      </c>
      <c r="C527" s="43" t="s">
        <v>27</v>
      </c>
      <c r="D527" s="43" t="s">
        <v>81</v>
      </c>
      <c r="E527" s="24" t="n">
        <v>3</v>
      </c>
      <c r="F527" s="44" t="n">
        <v>4.5</v>
      </c>
      <c r="G527" s="24" t="n">
        <v>0</v>
      </c>
      <c r="H527" s="24" t="n">
        <v>12</v>
      </c>
      <c r="I527" s="44" t="n">
        <f aca="false">E527*F527*(1-G527/100)*(1+H527/100)</f>
        <v>15.12</v>
      </c>
      <c r="J527" s="24" t="s">
        <v>24</v>
      </c>
      <c r="K527" s="24" t="s">
        <v>85</v>
      </c>
      <c r="L527" s="43" t="s">
        <v>122</v>
      </c>
      <c r="M527" s="44" t="n">
        <f aca="false">F527*(1-G527/100)-2.8</f>
        <v>1.7</v>
      </c>
      <c r="N527" s="44" t="n">
        <f aca="false">M527*E527</f>
        <v>5.1</v>
      </c>
    </row>
    <row r="528" customFormat="false" ht="16.5" hidden="false" customHeight="true" outlineLevel="0" collapsed="false">
      <c r="A528" s="45" t="n">
        <v>45706</v>
      </c>
      <c r="B528" s="28" t="s">
        <v>626</v>
      </c>
      <c r="C528" s="46" t="s">
        <v>33</v>
      </c>
      <c r="D528" s="46" t="s">
        <v>104</v>
      </c>
      <c r="E528" s="28" t="n">
        <v>4</v>
      </c>
      <c r="F528" s="47" t="n">
        <v>5</v>
      </c>
      <c r="G528" s="28" t="n">
        <v>0</v>
      </c>
      <c r="H528" s="28" t="n">
        <v>12</v>
      </c>
      <c r="I528" s="47" t="n">
        <f aca="false">E528*F528*(1-G528/100)*(1+H528/100)</f>
        <v>22.4</v>
      </c>
      <c r="J528" s="28" t="s">
        <v>24</v>
      </c>
      <c r="K528" s="28" t="s">
        <v>101</v>
      </c>
      <c r="L528" s="46" t="s">
        <v>91</v>
      </c>
      <c r="M528" s="47" t="n">
        <f aca="false">F528*(1-G528/100)-2.5</f>
        <v>2.5</v>
      </c>
      <c r="N528" s="47" t="n">
        <f aca="false">M528*E528</f>
        <v>10</v>
      </c>
    </row>
    <row r="529" customFormat="false" ht="16.5" hidden="false" customHeight="true" outlineLevel="0" collapsed="false">
      <c r="A529" s="42" t="n">
        <v>45706</v>
      </c>
      <c r="B529" s="24" t="s">
        <v>627</v>
      </c>
      <c r="C529" s="43" t="s">
        <v>93</v>
      </c>
      <c r="D529" s="43" t="s">
        <v>81</v>
      </c>
      <c r="E529" s="24" t="n">
        <v>1</v>
      </c>
      <c r="F529" s="44" t="n">
        <v>3</v>
      </c>
      <c r="G529" s="24" t="n">
        <v>0</v>
      </c>
      <c r="H529" s="24" t="n">
        <v>12</v>
      </c>
      <c r="I529" s="44" t="n">
        <f aca="false">E529*F529*(1-G529/100)*(1+H529/100)</f>
        <v>3.36</v>
      </c>
      <c r="J529" s="24" t="s">
        <v>34</v>
      </c>
      <c r="K529" s="24" t="s">
        <v>82</v>
      </c>
      <c r="L529" s="43" t="s">
        <v>117</v>
      </c>
      <c r="M529" s="44" t="n">
        <f aca="false">F529*(1-G529/100)-1.5</f>
        <v>1.5</v>
      </c>
      <c r="N529" s="44" t="n">
        <f aca="false">M529*E529</f>
        <v>1.5</v>
      </c>
    </row>
    <row r="530" customFormat="false" ht="16.5" hidden="false" customHeight="true" outlineLevel="0" collapsed="false">
      <c r="A530" s="45" t="n">
        <v>45707</v>
      </c>
      <c r="B530" s="28" t="s">
        <v>628</v>
      </c>
      <c r="C530" s="46" t="s">
        <v>93</v>
      </c>
      <c r="D530" s="46" t="s">
        <v>81</v>
      </c>
      <c r="E530" s="28" t="n">
        <v>1</v>
      </c>
      <c r="F530" s="47" t="n">
        <v>3</v>
      </c>
      <c r="G530" s="28" t="n">
        <v>0</v>
      </c>
      <c r="H530" s="28" t="n">
        <v>12</v>
      </c>
      <c r="I530" s="47" t="n">
        <f aca="false">E530*F530*(1-G530/100)*(1+H530/100)</f>
        <v>3.36</v>
      </c>
      <c r="J530" s="28" t="s">
        <v>28</v>
      </c>
      <c r="K530" s="28" t="s">
        <v>101</v>
      </c>
      <c r="L530" s="46" t="s">
        <v>94</v>
      </c>
      <c r="M530" s="47" t="n">
        <f aca="false">F530*(1-G530/100)-1.5</f>
        <v>1.5</v>
      </c>
      <c r="N530" s="47" t="n">
        <f aca="false">M530*E530</f>
        <v>1.5</v>
      </c>
    </row>
    <row r="531" customFormat="false" ht="16.5" hidden="false" customHeight="true" outlineLevel="0" collapsed="false">
      <c r="A531" s="42" t="n">
        <v>45707</v>
      </c>
      <c r="B531" s="24" t="s">
        <v>629</v>
      </c>
      <c r="C531" s="43" t="s">
        <v>29</v>
      </c>
      <c r="D531" s="43" t="s">
        <v>104</v>
      </c>
      <c r="E531" s="24" t="n">
        <v>4</v>
      </c>
      <c r="F531" s="44" t="n">
        <v>2.5</v>
      </c>
      <c r="G531" s="24" t="n">
        <v>0</v>
      </c>
      <c r="H531" s="24" t="n">
        <v>12</v>
      </c>
      <c r="I531" s="44" t="n">
        <f aca="false">E531*F531*(1-G531/100)*(1+H531/100)</f>
        <v>11.2</v>
      </c>
      <c r="J531" s="24" t="s">
        <v>26</v>
      </c>
      <c r="K531" s="24" t="s">
        <v>85</v>
      </c>
      <c r="L531" s="43" t="s">
        <v>98</v>
      </c>
      <c r="M531" s="44" t="n">
        <f aca="false">F531*(1-G531/100)-1.1</f>
        <v>1.4</v>
      </c>
      <c r="N531" s="44" t="n">
        <f aca="false">M531*E531</f>
        <v>5.6</v>
      </c>
    </row>
    <row r="532" customFormat="false" ht="16.5" hidden="false" customHeight="true" outlineLevel="0" collapsed="false">
      <c r="A532" s="45" t="n">
        <v>45707</v>
      </c>
      <c r="B532" s="28" t="s">
        <v>630</v>
      </c>
      <c r="C532" s="46" t="s">
        <v>27</v>
      </c>
      <c r="D532" s="46" t="s">
        <v>81</v>
      </c>
      <c r="E532" s="28" t="n">
        <v>1</v>
      </c>
      <c r="F532" s="47" t="n">
        <v>4.5</v>
      </c>
      <c r="G532" s="28" t="n">
        <v>0</v>
      </c>
      <c r="H532" s="28" t="n">
        <v>12</v>
      </c>
      <c r="I532" s="47" t="n">
        <f aca="false">E532*F532*(1-G532/100)*(1+H532/100)</f>
        <v>5.04</v>
      </c>
      <c r="J532" s="28" t="s">
        <v>28</v>
      </c>
      <c r="K532" s="28" t="s">
        <v>97</v>
      </c>
      <c r="L532" s="46" t="s">
        <v>83</v>
      </c>
      <c r="M532" s="47" t="n">
        <f aca="false">F532*(1-G532/100)-2.8</f>
        <v>1.7</v>
      </c>
      <c r="N532" s="47" t="n">
        <f aca="false">M532*E532</f>
        <v>1.7</v>
      </c>
    </row>
    <row r="533" customFormat="false" ht="16.5" hidden="false" customHeight="true" outlineLevel="0" collapsed="false">
      <c r="A533" s="42" t="n">
        <v>45707</v>
      </c>
      <c r="B533" s="24" t="s">
        <v>631</v>
      </c>
      <c r="C533" s="43" t="s">
        <v>113</v>
      </c>
      <c r="D533" s="43" t="s">
        <v>96</v>
      </c>
      <c r="E533" s="24" t="n">
        <v>2</v>
      </c>
      <c r="F533" s="44" t="n">
        <v>6</v>
      </c>
      <c r="G533" s="24" t="n">
        <v>0</v>
      </c>
      <c r="H533" s="24" t="n">
        <v>12</v>
      </c>
      <c r="I533" s="44" t="n">
        <f aca="false">E533*F533*(1-G533/100)*(1+H533/100)</f>
        <v>13.44</v>
      </c>
      <c r="J533" s="24" t="s">
        <v>24</v>
      </c>
      <c r="K533" s="24" t="s">
        <v>88</v>
      </c>
      <c r="L533" s="43" t="s">
        <v>89</v>
      </c>
      <c r="M533" s="44" t="n">
        <f aca="false">F533*(1-G533/100)-2.8</f>
        <v>3.2</v>
      </c>
      <c r="N533" s="44" t="n">
        <f aca="false">M533*E533</f>
        <v>6.4</v>
      </c>
    </row>
    <row r="534" customFormat="false" ht="16.5" hidden="false" customHeight="true" outlineLevel="0" collapsed="false">
      <c r="A534" s="45" t="n">
        <v>45707</v>
      </c>
      <c r="B534" s="28" t="s">
        <v>632</v>
      </c>
      <c r="C534" s="46" t="s">
        <v>25</v>
      </c>
      <c r="D534" s="46" t="s">
        <v>81</v>
      </c>
      <c r="E534" s="28" t="n">
        <v>5</v>
      </c>
      <c r="F534" s="47" t="n">
        <v>3.5</v>
      </c>
      <c r="G534" s="28" t="n">
        <v>0</v>
      </c>
      <c r="H534" s="28" t="n">
        <v>12</v>
      </c>
      <c r="I534" s="47" t="n">
        <f aca="false">E534*F534*(1-G534/100)*(1+H534/100)</f>
        <v>19.6</v>
      </c>
      <c r="J534" s="28" t="s">
        <v>32</v>
      </c>
      <c r="K534" s="28" t="s">
        <v>97</v>
      </c>
      <c r="L534" s="46" t="s">
        <v>91</v>
      </c>
      <c r="M534" s="47" t="n">
        <f aca="false">F534*(1-G534/100)-2.2</f>
        <v>1.3</v>
      </c>
      <c r="N534" s="47" t="n">
        <f aca="false">M534*E534</f>
        <v>6.5</v>
      </c>
    </row>
    <row r="535" customFormat="false" ht="16.5" hidden="false" customHeight="true" outlineLevel="0" collapsed="false">
      <c r="A535" s="42" t="n">
        <v>45707</v>
      </c>
      <c r="B535" s="24" t="s">
        <v>633</v>
      </c>
      <c r="C535" s="43" t="s">
        <v>29</v>
      </c>
      <c r="D535" s="43" t="s">
        <v>104</v>
      </c>
      <c r="E535" s="24" t="n">
        <v>4</v>
      </c>
      <c r="F535" s="44" t="n">
        <v>2.5</v>
      </c>
      <c r="G535" s="24" t="n">
        <v>10</v>
      </c>
      <c r="H535" s="24" t="n">
        <v>12</v>
      </c>
      <c r="I535" s="44" t="n">
        <f aca="false">E535*F535*(1-G535/100)*(1+H535/100)</f>
        <v>10.08</v>
      </c>
      <c r="J535" s="24" t="s">
        <v>32</v>
      </c>
      <c r="K535" s="24" t="s">
        <v>82</v>
      </c>
      <c r="L535" s="43" t="s">
        <v>98</v>
      </c>
      <c r="M535" s="44" t="n">
        <f aca="false">F535*(1-G535/100)-1.1</f>
        <v>1.15</v>
      </c>
      <c r="N535" s="44" t="n">
        <f aca="false">M535*E535</f>
        <v>4.6</v>
      </c>
    </row>
    <row r="536" customFormat="false" ht="16.5" hidden="false" customHeight="true" outlineLevel="0" collapsed="false">
      <c r="A536" s="45" t="n">
        <v>45707</v>
      </c>
      <c r="B536" s="28" t="s">
        <v>634</v>
      </c>
      <c r="C536" s="46" t="s">
        <v>27</v>
      </c>
      <c r="D536" s="46" t="s">
        <v>81</v>
      </c>
      <c r="E536" s="28" t="n">
        <v>2</v>
      </c>
      <c r="F536" s="47" t="n">
        <v>4.5</v>
      </c>
      <c r="G536" s="28" t="n">
        <v>0</v>
      </c>
      <c r="H536" s="28" t="n">
        <v>12</v>
      </c>
      <c r="I536" s="47" t="n">
        <f aca="false">E536*F536*(1-G536/100)*(1+H536/100)</f>
        <v>10.08</v>
      </c>
      <c r="J536" s="28" t="s">
        <v>34</v>
      </c>
      <c r="K536" s="28" t="s">
        <v>85</v>
      </c>
      <c r="L536" s="46" t="s">
        <v>106</v>
      </c>
      <c r="M536" s="47" t="n">
        <f aca="false">F536*(1-G536/100)-2.8</f>
        <v>1.7</v>
      </c>
      <c r="N536" s="47" t="n">
        <f aca="false">M536*E536</f>
        <v>3.4</v>
      </c>
    </row>
    <row r="537" customFormat="false" ht="16.5" hidden="false" customHeight="true" outlineLevel="0" collapsed="false">
      <c r="A537" s="42" t="n">
        <v>45707</v>
      </c>
      <c r="B537" s="24" t="s">
        <v>635</v>
      </c>
      <c r="C537" s="43" t="s">
        <v>113</v>
      </c>
      <c r="D537" s="43" t="s">
        <v>96</v>
      </c>
      <c r="E537" s="24" t="n">
        <v>3</v>
      </c>
      <c r="F537" s="44" t="n">
        <v>6</v>
      </c>
      <c r="G537" s="24" t="n">
        <v>0</v>
      </c>
      <c r="H537" s="24" t="n">
        <v>12</v>
      </c>
      <c r="I537" s="44" t="n">
        <f aca="false">E537*F537*(1-G537/100)*(1+H537/100)</f>
        <v>20.16</v>
      </c>
      <c r="J537" s="24" t="s">
        <v>26</v>
      </c>
      <c r="K537" s="24" t="s">
        <v>97</v>
      </c>
      <c r="L537" s="43" t="s">
        <v>98</v>
      </c>
      <c r="M537" s="44" t="n">
        <f aca="false">F537*(1-G537/100)-2.8</f>
        <v>3.2</v>
      </c>
      <c r="N537" s="44" t="n">
        <f aca="false">M537*E537</f>
        <v>9.6</v>
      </c>
    </row>
    <row r="538" customFormat="false" ht="16.5" hidden="false" customHeight="true" outlineLevel="0" collapsed="false">
      <c r="A538" s="45" t="n">
        <v>45707</v>
      </c>
      <c r="B538" s="28" t="s">
        <v>636</v>
      </c>
      <c r="C538" s="46" t="s">
        <v>33</v>
      </c>
      <c r="D538" s="46" t="s">
        <v>104</v>
      </c>
      <c r="E538" s="28" t="n">
        <v>5</v>
      </c>
      <c r="F538" s="47" t="n">
        <v>5</v>
      </c>
      <c r="G538" s="28" t="n">
        <v>10</v>
      </c>
      <c r="H538" s="28" t="n">
        <v>12</v>
      </c>
      <c r="I538" s="47" t="n">
        <f aca="false">E538*F538*(1-G538/100)*(1+H538/100)</f>
        <v>25.2</v>
      </c>
      <c r="J538" s="28" t="s">
        <v>34</v>
      </c>
      <c r="K538" s="28" t="s">
        <v>88</v>
      </c>
      <c r="L538" s="46" t="s">
        <v>122</v>
      </c>
      <c r="M538" s="47" t="n">
        <f aca="false">F538*(1-G538/100)-2.5</f>
        <v>2</v>
      </c>
      <c r="N538" s="47" t="n">
        <f aca="false">M538*E538</f>
        <v>10</v>
      </c>
    </row>
    <row r="539" customFormat="false" ht="16.5" hidden="false" customHeight="true" outlineLevel="0" collapsed="false">
      <c r="A539" s="42" t="n">
        <v>45707</v>
      </c>
      <c r="B539" s="24" t="s">
        <v>637</v>
      </c>
      <c r="C539" s="43" t="s">
        <v>25</v>
      </c>
      <c r="D539" s="43" t="s">
        <v>81</v>
      </c>
      <c r="E539" s="24" t="n">
        <v>3</v>
      </c>
      <c r="F539" s="44" t="n">
        <v>3.5</v>
      </c>
      <c r="G539" s="24" t="n">
        <v>0</v>
      </c>
      <c r="H539" s="24" t="n">
        <v>12</v>
      </c>
      <c r="I539" s="44" t="n">
        <f aca="false">E539*F539*(1-G539/100)*(1+H539/100)</f>
        <v>11.76</v>
      </c>
      <c r="J539" s="24" t="s">
        <v>34</v>
      </c>
      <c r="K539" s="24" t="s">
        <v>88</v>
      </c>
      <c r="L539" s="43" t="s">
        <v>117</v>
      </c>
      <c r="M539" s="44" t="n">
        <f aca="false">F539*(1-G539/100)-2.2</f>
        <v>1.3</v>
      </c>
      <c r="N539" s="44" t="n">
        <f aca="false">M539*E539</f>
        <v>3.9</v>
      </c>
    </row>
    <row r="540" customFormat="false" ht="16.5" hidden="false" customHeight="true" outlineLevel="0" collapsed="false">
      <c r="A540" s="45" t="n">
        <v>45707</v>
      </c>
      <c r="B540" s="28" t="s">
        <v>638</v>
      </c>
      <c r="C540" s="46" t="s">
        <v>33</v>
      </c>
      <c r="D540" s="46" t="s">
        <v>104</v>
      </c>
      <c r="E540" s="28" t="n">
        <v>4</v>
      </c>
      <c r="F540" s="47" t="n">
        <v>5</v>
      </c>
      <c r="G540" s="28" t="n">
        <v>0</v>
      </c>
      <c r="H540" s="28" t="n">
        <v>12</v>
      </c>
      <c r="I540" s="47" t="n">
        <f aca="false">E540*F540*(1-G540/100)*(1+H540/100)</f>
        <v>22.4</v>
      </c>
      <c r="J540" s="28" t="s">
        <v>24</v>
      </c>
      <c r="K540" s="28" t="s">
        <v>82</v>
      </c>
      <c r="L540" s="46" t="s">
        <v>111</v>
      </c>
      <c r="M540" s="47" t="n">
        <f aca="false">F540*(1-G540/100)-2.5</f>
        <v>2.5</v>
      </c>
      <c r="N540" s="47" t="n">
        <f aca="false">M540*E540</f>
        <v>10</v>
      </c>
    </row>
    <row r="541" customFormat="false" ht="16.5" hidden="false" customHeight="true" outlineLevel="0" collapsed="false">
      <c r="A541" s="42" t="n">
        <v>45707</v>
      </c>
      <c r="B541" s="24" t="s">
        <v>639</v>
      </c>
      <c r="C541" s="43" t="s">
        <v>113</v>
      </c>
      <c r="D541" s="43" t="s">
        <v>96</v>
      </c>
      <c r="E541" s="24" t="n">
        <v>1</v>
      </c>
      <c r="F541" s="44" t="n">
        <v>6</v>
      </c>
      <c r="G541" s="24" t="n">
        <v>0</v>
      </c>
      <c r="H541" s="24" t="n">
        <v>12</v>
      </c>
      <c r="I541" s="44" t="n">
        <f aca="false">E541*F541*(1-G541/100)*(1+H541/100)</f>
        <v>6.72</v>
      </c>
      <c r="J541" s="24" t="s">
        <v>32</v>
      </c>
      <c r="K541" s="24" t="s">
        <v>88</v>
      </c>
      <c r="L541" s="43" t="s">
        <v>98</v>
      </c>
      <c r="M541" s="44" t="n">
        <f aca="false">F541*(1-G541/100)-2.8</f>
        <v>3.2</v>
      </c>
      <c r="N541" s="44" t="n">
        <f aca="false">M541*E541</f>
        <v>3.2</v>
      </c>
    </row>
    <row r="542" customFormat="false" ht="16.5" hidden="false" customHeight="true" outlineLevel="0" collapsed="false">
      <c r="A542" s="45" t="n">
        <v>45707</v>
      </c>
      <c r="B542" s="28" t="s">
        <v>640</v>
      </c>
      <c r="C542" s="46" t="s">
        <v>124</v>
      </c>
      <c r="D542" s="46" t="s">
        <v>96</v>
      </c>
      <c r="E542" s="28" t="n">
        <v>1</v>
      </c>
      <c r="F542" s="47" t="n">
        <v>4</v>
      </c>
      <c r="G542" s="28" t="n">
        <v>0</v>
      </c>
      <c r="H542" s="28" t="n">
        <v>12</v>
      </c>
      <c r="I542" s="47" t="n">
        <f aca="false">E542*F542*(1-G542/100)*(1+H542/100)</f>
        <v>4.48</v>
      </c>
      <c r="J542" s="28" t="s">
        <v>28</v>
      </c>
      <c r="K542" s="28" t="s">
        <v>82</v>
      </c>
      <c r="L542" s="46" t="s">
        <v>94</v>
      </c>
      <c r="M542" s="47" t="n">
        <f aca="false">F542*(1-G542/100)-1.8</f>
        <v>2.2</v>
      </c>
      <c r="N542" s="47" t="n">
        <f aca="false">M542*E542</f>
        <v>2.2</v>
      </c>
    </row>
    <row r="543" customFormat="false" ht="16.5" hidden="false" customHeight="true" outlineLevel="0" collapsed="false">
      <c r="A543" s="42" t="n">
        <v>45707</v>
      </c>
      <c r="B543" s="24" t="s">
        <v>641</v>
      </c>
      <c r="C543" s="43" t="s">
        <v>109</v>
      </c>
      <c r="D543" s="43" t="s">
        <v>110</v>
      </c>
      <c r="E543" s="24" t="n">
        <v>4</v>
      </c>
      <c r="F543" s="44" t="n">
        <v>3.5</v>
      </c>
      <c r="G543" s="24" t="n">
        <v>0</v>
      </c>
      <c r="H543" s="24" t="n">
        <v>12</v>
      </c>
      <c r="I543" s="44" t="n">
        <f aca="false">E543*F543*(1-G543/100)*(1+H543/100)</f>
        <v>15.68</v>
      </c>
      <c r="J543" s="24" t="s">
        <v>34</v>
      </c>
      <c r="K543" s="24" t="s">
        <v>82</v>
      </c>
      <c r="L543" s="43" t="s">
        <v>111</v>
      </c>
      <c r="M543" s="44" t="n">
        <f aca="false">F543*(1-G543/100)-1.4</f>
        <v>2.1</v>
      </c>
      <c r="N543" s="44" t="n">
        <f aca="false">M543*E543</f>
        <v>8.4</v>
      </c>
    </row>
    <row r="544" customFormat="false" ht="16.5" hidden="false" customHeight="true" outlineLevel="0" collapsed="false">
      <c r="A544" s="45" t="n">
        <v>45707</v>
      </c>
      <c r="B544" s="28" t="s">
        <v>642</v>
      </c>
      <c r="C544" s="46" t="s">
        <v>27</v>
      </c>
      <c r="D544" s="46" t="s">
        <v>81</v>
      </c>
      <c r="E544" s="28" t="n">
        <v>1</v>
      </c>
      <c r="F544" s="47" t="n">
        <v>4.5</v>
      </c>
      <c r="G544" s="28" t="n">
        <v>10</v>
      </c>
      <c r="H544" s="28" t="n">
        <v>12</v>
      </c>
      <c r="I544" s="47" t="n">
        <f aca="false">E544*F544*(1-G544/100)*(1+H544/100)</f>
        <v>4.536</v>
      </c>
      <c r="J544" s="28" t="s">
        <v>24</v>
      </c>
      <c r="K544" s="28" t="s">
        <v>101</v>
      </c>
      <c r="L544" s="46" t="s">
        <v>122</v>
      </c>
      <c r="M544" s="47" t="n">
        <f aca="false">F544*(1-G544/100)-2.8</f>
        <v>1.25</v>
      </c>
      <c r="N544" s="47" t="n">
        <f aca="false">M544*E544</f>
        <v>1.25</v>
      </c>
    </row>
    <row r="545" customFormat="false" ht="16.5" hidden="false" customHeight="true" outlineLevel="0" collapsed="false">
      <c r="A545" s="42" t="n">
        <v>45708</v>
      </c>
      <c r="B545" s="24" t="s">
        <v>643</v>
      </c>
      <c r="C545" s="43" t="s">
        <v>25</v>
      </c>
      <c r="D545" s="43" t="s">
        <v>81</v>
      </c>
      <c r="E545" s="24" t="n">
        <v>1</v>
      </c>
      <c r="F545" s="44" t="n">
        <v>3.5</v>
      </c>
      <c r="G545" s="24" t="n">
        <v>5</v>
      </c>
      <c r="H545" s="24" t="n">
        <v>12</v>
      </c>
      <c r="I545" s="44" t="n">
        <f aca="false">E545*F545*(1-G545/100)*(1+H545/100)</f>
        <v>3.724</v>
      </c>
      <c r="J545" s="24" t="s">
        <v>34</v>
      </c>
      <c r="K545" s="24" t="s">
        <v>97</v>
      </c>
      <c r="L545" s="43" t="s">
        <v>117</v>
      </c>
      <c r="M545" s="44" t="n">
        <f aca="false">F545*(1-G545/100)-2.2</f>
        <v>1.125</v>
      </c>
      <c r="N545" s="44" t="n">
        <f aca="false">M545*E545</f>
        <v>1.125</v>
      </c>
    </row>
    <row r="546" customFormat="false" ht="16.5" hidden="false" customHeight="true" outlineLevel="0" collapsed="false">
      <c r="A546" s="45" t="n">
        <v>45708</v>
      </c>
      <c r="B546" s="28" t="s">
        <v>644</v>
      </c>
      <c r="C546" s="46" t="s">
        <v>113</v>
      </c>
      <c r="D546" s="46" t="s">
        <v>96</v>
      </c>
      <c r="E546" s="28" t="n">
        <v>4</v>
      </c>
      <c r="F546" s="47" t="n">
        <v>6</v>
      </c>
      <c r="G546" s="28" t="n">
        <v>5</v>
      </c>
      <c r="H546" s="28" t="n">
        <v>12</v>
      </c>
      <c r="I546" s="47" t="n">
        <f aca="false">E546*F546*(1-G546/100)*(1+H546/100)</f>
        <v>25.536</v>
      </c>
      <c r="J546" s="28" t="s">
        <v>24</v>
      </c>
      <c r="K546" s="28" t="s">
        <v>88</v>
      </c>
      <c r="L546" s="46" t="s">
        <v>117</v>
      </c>
      <c r="M546" s="47" t="n">
        <f aca="false">F546*(1-G546/100)-2.8</f>
        <v>2.9</v>
      </c>
      <c r="N546" s="47" t="n">
        <f aca="false">M546*E546</f>
        <v>11.6</v>
      </c>
    </row>
    <row r="547" customFormat="false" ht="16.5" hidden="false" customHeight="true" outlineLevel="0" collapsed="false">
      <c r="A547" s="42" t="n">
        <v>45708</v>
      </c>
      <c r="B547" s="24" t="s">
        <v>645</v>
      </c>
      <c r="C547" s="43" t="s">
        <v>109</v>
      </c>
      <c r="D547" s="43" t="s">
        <v>110</v>
      </c>
      <c r="E547" s="24" t="n">
        <v>2</v>
      </c>
      <c r="F547" s="44" t="n">
        <v>3.5</v>
      </c>
      <c r="G547" s="24" t="n">
        <v>0</v>
      </c>
      <c r="H547" s="24" t="n">
        <v>12</v>
      </c>
      <c r="I547" s="44" t="n">
        <f aca="false">E547*F547*(1-G547/100)*(1+H547/100)</f>
        <v>7.84</v>
      </c>
      <c r="J547" s="24" t="s">
        <v>24</v>
      </c>
      <c r="K547" s="24" t="s">
        <v>97</v>
      </c>
      <c r="L547" s="43" t="s">
        <v>98</v>
      </c>
      <c r="M547" s="44" t="n">
        <f aca="false">F547*(1-G547/100)-1.4</f>
        <v>2.1</v>
      </c>
      <c r="N547" s="44" t="n">
        <f aca="false">M547*E547</f>
        <v>4.2</v>
      </c>
    </row>
    <row r="548" customFormat="false" ht="16.5" hidden="false" customHeight="true" outlineLevel="0" collapsed="false">
      <c r="A548" s="45" t="n">
        <v>45708</v>
      </c>
      <c r="B548" s="28" t="s">
        <v>646</v>
      </c>
      <c r="C548" s="46" t="s">
        <v>124</v>
      </c>
      <c r="D548" s="46" t="s">
        <v>96</v>
      </c>
      <c r="E548" s="28" t="n">
        <v>2</v>
      </c>
      <c r="F548" s="47" t="n">
        <v>4</v>
      </c>
      <c r="G548" s="28" t="n">
        <v>0</v>
      </c>
      <c r="H548" s="28" t="n">
        <v>12</v>
      </c>
      <c r="I548" s="47" t="n">
        <f aca="false">E548*F548*(1-G548/100)*(1+H548/100)</f>
        <v>8.96</v>
      </c>
      <c r="J548" s="28" t="s">
        <v>34</v>
      </c>
      <c r="K548" s="28" t="s">
        <v>97</v>
      </c>
      <c r="L548" s="46" t="s">
        <v>94</v>
      </c>
      <c r="M548" s="47" t="n">
        <f aca="false">F548*(1-G548/100)-1.8</f>
        <v>2.2</v>
      </c>
      <c r="N548" s="47" t="n">
        <f aca="false">M548*E548</f>
        <v>4.4</v>
      </c>
    </row>
    <row r="549" customFormat="false" ht="16.5" hidden="false" customHeight="true" outlineLevel="0" collapsed="false">
      <c r="A549" s="42" t="n">
        <v>45708</v>
      </c>
      <c r="B549" s="24" t="s">
        <v>647</v>
      </c>
      <c r="C549" s="43" t="s">
        <v>109</v>
      </c>
      <c r="D549" s="43" t="s">
        <v>110</v>
      </c>
      <c r="E549" s="24" t="n">
        <v>1</v>
      </c>
      <c r="F549" s="44" t="n">
        <v>3.5</v>
      </c>
      <c r="G549" s="24" t="n">
        <v>0</v>
      </c>
      <c r="H549" s="24" t="n">
        <v>12</v>
      </c>
      <c r="I549" s="44" t="n">
        <f aca="false">E549*F549*(1-G549/100)*(1+H549/100)</f>
        <v>3.92</v>
      </c>
      <c r="J549" s="24" t="s">
        <v>32</v>
      </c>
      <c r="K549" s="24" t="s">
        <v>82</v>
      </c>
      <c r="L549" s="43" t="s">
        <v>86</v>
      </c>
      <c r="M549" s="44" t="n">
        <f aca="false">F549*(1-G549/100)-1.4</f>
        <v>2.1</v>
      </c>
      <c r="N549" s="44" t="n">
        <f aca="false">M549*E549</f>
        <v>2.1</v>
      </c>
    </row>
    <row r="550" customFormat="false" ht="16.5" hidden="false" customHeight="true" outlineLevel="0" collapsed="false">
      <c r="A550" s="45" t="n">
        <v>45708</v>
      </c>
      <c r="B550" s="28" t="s">
        <v>648</v>
      </c>
      <c r="C550" s="46" t="s">
        <v>33</v>
      </c>
      <c r="D550" s="46" t="s">
        <v>104</v>
      </c>
      <c r="E550" s="28" t="n">
        <v>1</v>
      </c>
      <c r="F550" s="47" t="n">
        <v>5</v>
      </c>
      <c r="G550" s="28" t="n">
        <v>5</v>
      </c>
      <c r="H550" s="28" t="n">
        <v>12</v>
      </c>
      <c r="I550" s="47" t="n">
        <f aca="false">E550*F550*(1-G550/100)*(1+H550/100)</f>
        <v>5.32</v>
      </c>
      <c r="J550" s="28" t="s">
        <v>24</v>
      </c>
      <c r="K550" s="28" t="s">
        <v>85</v>
      </c>
      <c r="L550" s="46" t="s">
        <v>89</v>
      </c>
      <c r="M550" s="47" t="n">
        <f aca="false">F550*(1-G550/100)-2.5</f>
        <v>2.25</v>
      </c>
      <c r="N550" s="47" t="n">
        <f aca="false">M550*E550</f>
        <v>2.25</v>
      </c>
    </row>
    <row r="551" customFormat="false" ht="16.5" hidden="false" customHeight="true" outlineLevel="0" collapsed="false">
      <c r="A551" s="42" t="n">
        <v>45708</v>
      </c>
      <c r="B551" s="24" t="s">
        <v>649</v>
      </c>
      <c r="C551" s="43" t="s">
        <v>109</v>
      </c>
      <c r="D551" s="43" t="s">
        <v>110</v>
      </c>
      <c r="E551" s="24" t="n">
        <v>1</v>
      </c>
      <c r="F551" s="44" t="n">
        <v>3.5</v>
      </c>
      <c r="G551" s="24" t="n">
        <v>0</v>
      </c>
      <c r="H551" s="24" t="n">
        <v>12</v>
      </c>
      <c r="I551" s="44" t="n">
        <f aca="false">E551*F551*(1-G551/100)*(1+H551/100)</f>
        <v>3.92</v>
      </c>
      <c r="J551" s="24" t="s">
        <v>26</v>
      </c>
      <c r="K551" s="24" t="s">
        <v>101</v>
      </c>
      <c r="L551" s="43" t="s">
        <v>86</v>
      </c>
      <c r="M551" s="44" t="n">
        <f aca="false">F551*(1-G551/100)-1.4</f>
        <v>2.1</v>
      </c>
      <c r="N551" s="44" t="n">
        <f aca="false">M551*E551</f>
        <v>2.1</v>
      </c>
    </row>
    <row r="552" customFormat="false" ht="16.5" hidden="false" customHeight="true" outlineLevel="0" collapsed="false">
      <c r="A552" s="45" t="n">
        <v>45708</v>
      </c>
      <c r="B552" s="28" t="s">
        <v>650</v>
      </c>
      <c r="C552" s="46" t="s">
        <v>29</v>
      </c>
      <c r="D552" s="46" t="s">
        <v>104</v>
      </c>
      <c r="E552" s="28" t="n">
        <v>1</v>
      </c>
      <c r="F552" s="47" t="n">
        <v>2.5</v>
      </c>
      <c r="G552" s="28" t="n">
        <v>0</v>
      </c>
      <c r="H552" s="28" t="n">
        <v>12</v>
      </c>
      <c r="I552" s="47" t="n">
        <f aca="false">E552*F552*(1-G552/100)*(1+H552/100)</f>
        <v>2.8</v>
      </c>
      <c r="J552" s="28" t="s">
        <v>32</v>
      </c>
      <c r="K552" s="28" t="s">
        <v>97</v>
      </c>
      <c r="L552" s="46" t="s">
        <v>117</v>
      </c>
      <c r="M552" s="47" t="n">
        <f aca="false">F552*(1-G552/100)-1.1</f>
        <v>1.4</v>
      </c>
      <c r="N552" s="47" t="n">
        <f aca="false">M552*E552</f>
        <v>1.4</v>
      </c>
    </row>
    <row r="553" customFormat="false" ht="16.5" hidden="false" customHeight="true" outlineLevel="0" collapsed="false">
      <c r="A553" s="42" t="n">
        <v>45709</v>
      </c>
      <c r="B553" s="24" t="s">
        <v>651</v>
      </c>
      <c r="C553" s="43" t="s">
        <v>35</v>
      </c>
      <c r="D553" s="43" t="s">
        <v>81</v>
      </c>
      <c r="E553" s="24" t="n">
        <v>2</v>
      </c>
      <c r="F553" s="44" t="n">
        <v>1.5</v>
      </c>
      <c r="G553" s="24" t="n">
        <v>0</v>
      </c>
      <c r="H553" s="24" t="n">
        <v>12</v>
      </c>
      <c r="I553" s="44" t="n">
        <f aca="false">E553*F553*(1-G553/100)*(1+H553/100)</f>
        <v>3.36</v>
      </c>
      <c r="J553" s="24" t="s">
        <v>26</v>
      </c>
      <c r="K553" s="24" t="s">
        <v>97</v>
      </c>
      <c r="L553" s="43" t="s">
        <v>98</v>
      </c>
      <c r="M553" s="44" t="n">
        <f aca="false">F553*(1-G553/100)-0.6</f>
        <v>0.9</v>
      </c>
      <c r="N553" s="44" t="n">
        <f aca="false">M553*E553</f>
        <v>1.8</v>
      </c>
    </row>
    <row r="554" customFormat="false" ht="16.5" hidden="false" customHeight="true" outlineLevel="0" collapsed="false">
      <c r="A554" s="45" t="n">
        <v>45709</v>
      </c>
      <c r="B554" s="28" t="s">
        <v>652</v>
      </c>
      <c r="C554" s="46" t="s">
        <v>25</v>
      </c>
      <c r="D554" s="46" t="s">
        <v>81</v>
      </c>
      <c r="E554" s="28" t="n">
        <v>3</v>
      </c>
      <c r="F554" s="47" t="n">
        <v>3.5</v>
      </c>
      <c r="G554" s="28" t="n">
        <v>5</v>
      </c>
      <c r="H554" s="28" t="n">
        <v>12</v>
      </c>
      <c r="I554" s="47" t="n">
        <f aca="false">E554*F554*(1-G554/100)*(1+H554/100)</f>
        <v>11.172</v>
      </c>
      <c r="J554" s="28" t="s">
        <v>28</v>
      </c>
      <c r="K554" s="28" t="s">
        <v>88</v>
      </c>
      <c r="L554" s="46" t="s">
        <v>98</v>
      </c>
      <c r="M554" s="47" t="n">
        <f aca="false">F554*(1-G554/100)-2.2</f>
        <v>1.125</v>
      </c>
      <c r="N554" s="47" t="n">
        <f aca="false">M554*E554</f>
        <v>3.375</v>
      </c>
    </row>
    <row r="555" customFormat="false" ht="16.5" hidden="false" customHeight="true" outlineLevel="0" collapsed="false">
      <c r="A555" s="42" t="n">
        <v>45709</v>
      </c>
      <c r="B555" s="24" t="s">
        <v>653</v>
      </c>
      <c r="C555" s="43" t="s">
        <v>35</v>
      </c>
      <c r="D555" s="43" t="s">
        <v>81</v>
      </c>
      <c r="E555" s="24" t="n">
        <v>5</v>
      </c>
      <c r="F555" s="44" t="n">
        <v>1.5</v>
      </c>
      <c r="G555" s="24" t="n">
        <v>0</v>
      </c>
      <c r="H555" s="24" t="n">
        <v>12</v>
      </c>
      <c r="I555" s="44" t="n">
        <f aca="false">E555*F555*(1-G555/100)*(1+H555/100)</f>
        <v>8.4</v>
      </c>
      <c r="J555" s="24" t="s">
        <v>32</v>
      </c>
      <c r="K555" s="24" t="s">
        <v>85</v>
      </c>
      <c r="L555" s="43" t="s">
        <v>117</v>
      </c>
      <c r="M555" s="44" t="n">
        <f aca="false">F555*(1-G555/100)-0.6</f>
        <v>0.9</v>
      </c>
      <c r="N555" s="44" t="n">
        <f aca="false">M555*E555</f>
        <v>4.5</v>
      </c>
    </row>
    <row r="556" customFormat="false" ht="16.5" hidden="false" customHeight="true" outlineLevel="0" collapsed="false">
      <c r="A556" s="45" t="n">
        <v>45709</v>
      </c>
      <c r="B556" s="28" t="s">
        <v>654</v>
      </c>
      <c r="C556" s="46" t="s">
        <v>36</v>
      </c>
      <c r="D556" s="46" t="s">
        <v>96</v>
      </c>
      <c r="E556" s="28" t="n">
        <v>1</v>
      </c>
      <c r="F556" s="47" t="n">
        <v>8.5</v>
      </c>
      <c r="G556" s="28" t="n">
        <v>5</v>
      </c>
      <c r="H556" s="28" t="n">
        <v>12</v>
      </c>
      <c r="I556" s="47" t="n">
        <f aca="false">E556*F556*(1-G556/100)*(1+H556/100)</f>
        <v>9.044</v>
      </c>
      <c r="J556" s="28" t="s">
        <v>34</v>
      </c>
      <c r="K556" s="28" t="s">
        <v>82</v>
      </c>
      <c r="L556" s="46" t="s">
        <v>106</v>
      </c>
      <c r="M556" s="47" t="n">
        <f aca="false">F556*(1-G556/100)-4.2</f>
        <v>3.875</v>
      </c>
      <c r="N556" s="47" t="n">
        <f aca="false">M556*E556</f>
        <v>3.875</v>
      </c>
    </row>
    <row r="557" customFormat="false" ht="16.5" hidden="false" customHeight="true" outlineLevel="0" collapsed="false">
      <c r="A557" s="42" t="n">
        <v>45709</v>
      </c>
      <c r="B557" s="24" t="s">
        <v>655</v>
      </c>
      <c r="C557" s="43" t="s">
        <v>29</v>
      </c>
      <c r="D557" s="43" t="s">
        <v>104</v>
      </c>
      <c r="E557" s="24" t="n">
        <v>3</v>
      </c>
      <c r="F557" s="44" t="n">
        <v>2.5</v>
      </c>
      <c r="G557" s="24" t="n">
        <v>0</v>
      </c>
      <c r="H557" s="24" t="n">
        <v>12</v>
      </c>
      <c r="I557" s="44" t="n">
        <f aca="false">E557*F557*(1-G557/100)*(1+H557/100)</f>
        <v>8.4</v>
      </c>
      <c r="J557" s="24" t="s">
        <v>34</v>
      </c>
      <c r="K557" s="24" t="s">
        <v>101</v>
      </c>
      <c r="L557" s="43" t="s">
        <v>91</v>
      </c>
      <c r="M557" s="44" t="n">
        <f aca="false">F557*(1-G557/100)-1.1</f>
        <v>1.4</v>
      </c>
      <c r="N557" s="44" t="n">
        <f aca="false">M557*E557</f>
        <v>4.2</v>
      </c>
    </row>
    <row r="558" customFormat="false" ht="16.5" hidden="false" customHeight="true" outlineLevel="0" collapsed="false">
      <c r="A558" s="45" t="n">
        <v>45709</v>
      </c>
      <c r="B558" s="28" t="s">
        <v>656</v>
      </c>
      <c r="C558" s="46" t="s">
        <v>124</v>
      </c>
      <c r="D558" s="46" t="s">
        <v>96</v>
      </c>
      <c r="E558" s="28" t="n">
        <v>1</v>
      </c>
      <c r="F558" s="47" t="n">
        <v>4</v>
      </c>
      <c r="G558" s="28" t="n">
        <v>0</v>
      </c>
      <c r="H558" s="28" t="n">
        <v>12</v>
      </c>
      <c r="I558" s="47" t="n">
        <f aca="false">E558*F558*(1-G558/100)*(1+H558/100)</f>
        <v>4.48</v>
      </c>
      <c r="J558" s="28" t="s">
        <v>24</v>
      </c>
      <c r="K558" s="28" t="s">
        <v>82</v>
      </c>
      <c r="L558" s="46" t="s">
        <v>86</v>
      </c>
      <c r="M558" s="47" t="n">
        <f aca="false">F558*(1-G558/100)-1.8</f>
        <v>2.2</v>
      </c>
      <c r="N558" s="47" t="n">
        <f aca="false">M558*E558</f>
        <v>2.2</v>
      </c>
    </row>
    <row r="559" customFormat="false" ht="16.5" hidden="false" customHeight="true" outlineLevel="0" collapsed="false">
      <c r="A559" s="42" t="n">
        <v>45709</v>
      </c>
      <c r="B559" s="24" t="s">
        <v>657</v>
      </c>
      <c r="C559" s="43" t="s">
        <v>93</v>
      </c>
      <c r="D559" s="43" t="s">
        <v>81</v>
      </c>
      <c r="E559" s="24" t="n">
        <v>3</v>
      </c>
      <c r="F559" s="44" t="n">
        <v>3</v>
      </c>
      <c r="G559" s="24" t="n">
        <v>5</v>
      </c>
      <c r="H559" s="24" t="n">
        <v>12</v>
      </c>
      <c r="I559" s="44" t="n">
        <f aca="false">E559*F559*(1-G559/100)*(1+H559/100)</f>
        <v>9.576</v>
      </c>
      <c r="J559" s="24" t="s">
        <v>26</v>
      </c>
      <c r="K559" s="24" t="s">
        <v>82</v>
      </c>
      <c r="L559" s="43" t="s">
        <v>86</v>
      </c>
      <c r="M559" s="44" t="n">
        <f aca="false">F559*(1-G559/100)-1.5</f>
        <v>1.35</v>
      </c>
      <c r="N559" s="44" t="n">
        <f aca="false">M559*E559</f>
        <v>4.05</v>
      </c>
    </row>
    <row r="560" customFormat="false" ht="16.5" hidden="false" customHeight="true" outlineLevel="0" collapsed="false">
      <c r="A560" s="45" t="n">
        <v>45709</v>
      </c>
      <c r="B560" s="28" t="s">
        <v>658</v>
      </c>
      <c r="C560" s="46" t="s">
        <v>124</v>
      </c>
      <c r="D560" s="46" t="s">
        <v>96</v>
      </c>
      <c r="E560" s="28" t="n">
        <v>4</v>
      </c>
      <c r="F560" s="47" t="n">
        <v>4</v>
      </c>
      <c r="G560" s="28" t="n">
        <v>0</v>
      </c>
      <c r="H560" s="28" t="n">
        <v>12</v>
      </c>
      <c r="I560" s="47" t="n">
        <f aca="false">E560*F560*(1-G560/100)*(1+H560/100)</f>
        <v>17.92</v>
      </c>
      <c r="J560" s="28" t="s">
        <v>28</v>
      </c>
      <c r="K560" s="28" t="s">
        <v>82</v>
      </c>
      <c r="L560" s="46" t="s">
        <v>94</v>
      </c>
      <c r="M560" s="47" t="n">
        <f aca="false">F560*(1-G560/100)-1.8</f>
        <v>2.2</v>
      </c>
      <c r="N560" s="47" t="n">
        <f aca="false">M560*E560</f>
        <v>8.8</v>
      </c>
    </row>
    <row r="561" customFormat="false" ht="16.5" hidden="false" customHeight="true" outlineLevel="0" collapsed="false">
      <c r="A561" s="42" t="n">
        <v>45709</v>
      </c>
      <c r="B561" s="24" t="s">
        <v>659</v>
      </c>
      <c r="C561" s="43" t="s">
        <v>36</v>
      </c>
      <c r="D561" s="43" t="s">
        <v>96</v>
      </c>
      <c r="E561" s="24" t="n">
        <v>3</v>
      </c>
      <c r="F561" s="44" t="n">
        <v>8.5</v>
      </c>
      <c r="G561" s="24" t="n">
        <v>0</v>
      </c>
      <c r="H561" s="24" t="n">
        <v>12</v>
      </c>
      <c r="I561" s="44" t="n">
        <f aca="false">E561*F561*(1-G561/100)*(1+H561/100)</f>
        <v>28.56</v>
      </c>
      <c r="J561" s="24" t="s">
        <v>34</v>
      </c>
      <c r="K561" s="24" t="s">
        <v>97</v>
      </c>
      <c r="L561" s="43" t="s">
        <v>98</v>
      </c>
      <c r="M561" s="44" t="n">
        <f aca="false">F561*(1-G561/100)-4.2</f>
        <v>4.3</v>
      </c>
      <c r="N561" s="44" t="n">
        <f aca="false">M561*E561</f>
        <v>12.9</v>
      </c>
    </row>
    <row r="562" customFormat="false" ht="16.5" hidden="false" customHeight="true" outlineLevel="0" collapsed="false">
      <c r="A562" s="45" t="n">
        <v>45709</v>
      </c>
      <c r="B562" s="28" t="s">
        <v>660</v>
      </c>
      <c r="C562" s="46" t="s">
        <v>124</v>
      </c>
      <c r="D562" s="46" t="s">
        <v>96</v>
      </c>
      <c r="E562" s="28" t="n">
        <v>1</v>
      </c>
      <c r="F562" s="47" t="n">
        <v>4</v>
      </c>
      <c r="G562" s="28" t="n">
        <v>0</v>
      </c>
      <c r="H562" s="28" t="n">
        <v>12</v>
      </c>
      <c r="I562" s="47" t="n">
        <f aca="false">E562*F562*(1-G562/100)*(1+H562/100)</f>
        <v>4.48</v>
      </c>
      <c r="J562" s="28" t="s">
        <v>26</v>
      </c>
      <c r="K562" s="28" t="s">
        <v>88</v>
      </c>
      <c r="L562" s="46" t="s">
        <v>86</v>
      </c>
      <c r="M562" s="47" t="n">
        <f aca="false">F562*(1-G562/100)-1.8</f>
        <v>2.2</v>
      </c>
      <c r="N562" s="47" t="n">
        <f aca="false">M562*E562</f>
        <v>2.2</v>
      </c>
    </row>
    <row r="563" customFormat="false" ht="16.5" hidden="false" customHeight="true" outlineLevel="0" collapsed="false">
      <c r="A563" s="42" t="n">
        <v>45709</v>
      </c>
      <c r="B563" s="24" t="s">
        <v>661</v>
      </c>
      <c r="C563" s="43" t="s">
        <v>113</v>
      </c>
      <c r="D563" s="43" t="s">
        <v>96</v>
      </c>
      <c r="E563" s="24" t="n">
        <v>1</v>
      </c>
      <c r="F563" s="44" t="n">
        <v>6</v>
      </c>
      <c r="G563" s="24" t="n">
        <v>5</v>
      </c>
      <c r="H563" s="24" t="n">
        <v>12</v>
      </c>
      <c r="I563" s="44" t="n">
        <f aca="false">E563*F563*(1-G563/100)*(1+H563/100)</f>
        <v>6.384</v>
      </c>
      <c r="J563" s="24" t="s">
        <v>28</v>
      </c>
      <c r="K563" s="24" t="s">
        <v>97</v>
      </c>
      <c r="L563" s="43" t="s">
        <v>106</v>
      </c>
      <c r="M563" s="44" t="n">
        <f aca="false">F563*(1-G563/100)-2.8</f>
        <v>2.9</v>
      </c>
      <c r="N563" s="44" t="n">
        <f aca="false">M563*E563</f>
        <v>2.9</v>
      </c>
    </row>
    <row r="564" customFormat="false" ht="16.5" hidden="false" customHeight="true" outlineLevel="0" collapsed="false">
      <c r="A564" s="45" t="n">
        <v>45709</v>
      </c>
      <c r="B564" s="28" t="s">
        <v>662</v>
      </c>
      <c r="C564" s="46" t="s">
        <v>27</v>
      </c>
      <c r="D564" s="46" t="s">
        <v>81</v>
      </c>
      <c r="E564" s="28" t="n">
        <v>5</v>
      </c>
      <c r="F564" s="47" t="n">
        <v>4.5</v>
      </c>
      <c r="G564" s="28" t="n">
        <v>5</v>
      </c>
      <c r="H564" s="28" t="n">
        <v>12</v>
      </c>
      <c r="I564" s="47" t="n">
        <f aca="false">E564*F564*(1-G564/100)*(1+H564/100)</f>
        <v>23.94</v>
      </c>
      <c r="J564" s="28" t="s">
        <v>24</v>
      </c>
      <c r="K564" s="28" t="s">
        <v>97</v>
      </c>
      <c r="L564" s="46" t="s">
        <v>91</v>
      </c>
      <c r="M564" s="47" t="n">
        <f aca="false">F564*(1-G564/100)-2.8</f>
        <v>1.475</v>
      </c>
      <c r="N564" s="47" t="n">
        <f aca="false">M564*E564</f>
        <v>7.375</v>
      </c>
    </row>
    <row r="565" customFormat="false" ht="16.5" hidden="false" customHeight="true" outlineLevel="0" collapsed="false">
      <c r="A565" s="42" t="n">
        <v>45709</v>
      </c>
      <c r="B565" s="24" t="s">
        <v>663</v>
      </c>
      <c r="C565" s="43" t="s">
        <v>35</v>
      </c>
      <c r="D565" s="43" t="s">
        <v>81</v>
      </c>
      <c r="E565" s="24" t="n">
        <v>5</v>
      </c>
      <c r="F565" s="44" t="n">
        <v>1.5</v>
      </c>
      <c r="G565" s="24" t="n">
        <v>0</v>
      </c>
      <c r="H565" s="24" t="n">
        <v>12</v>
      </c>
      <c r="I565" s="44" t="n">
        <f aca="false">E565*F565*(1-G565/100)*(1+H565/100)</f>
        <v>8.4</v>
      </c>
      <c r="J565" s="24" t="s">
        <v>34</v>
      </c>
      <c r="K565" s="24" t="s">
        <v>82</v>
      </c>
      <c r="L565" s="43" t="s">
        <v>111</v>
      </c>
      <c r="M565" s="44" t="n">
        <f aca="false">F565*(1-G565/100)-0.6</f>
        <v>0.9</v>
      </c>
      <c r="N565" s="44" t="n">
        <f aca="false">M565*E565</f>
        <v>4.5</v>
      </c>
    </row>
    <row r="566" customFormat="false" ht="16.5" hidden="false" customHeight="true" outlineLevel="0" collapsed="false">
      <c r="A566" s="45" t="n">
        <v>45710</v>
      </c>
      <c r="B566" s="28" t="s">
        <v>664</v>
      </c>
      <c r="C566" s="46" t="s">
        <v>109</v>
      </c>
      <c r="D566" s="46" t="s">
        <v>110</v>
      </c>
      <c r="E566" s="28" t="n">
        <v>4</v>
      </c>
      <c r="F566" s="47" t="n">
        <v>3.5</v>
      </c>
      <c r="G566" s="28" t="n">
        <v>0</v>
      </c>
      <c r="H566" s="28" t="n">
        <v>12</v>
      </c>
      <c r="I566" s="47" t="n">
        <f aca="false">E566*F566*(1-G566/100)*(1+H566/100)</f>
        <v>15.68</v>
      </c>
      <c r="J566" s="28" t="s">
        <v>34</v>
      </c>
      <c r="K566" s="28" t="s">
        <v>82</v>
      </c>
      <c r="L566" s="46" t="s">
        <v>83</v>
      </c>
      <c r="M566" s="47" t="n">
        <f aca="false">F566*(1-G566/100)-1.4</f>
        <v>2.1</v>
      </c>
      <c r="N566" s="47" t="n">
        <f aca="false">M566*E566</f>
        <v>8.4</v>
      </c>
    </row>
    <row r="567" customFormat="false" ht="16.5" hidden="false" customHeight="true" outlineLevel="0" collapsed="false">
      <c r="A567" s="42" t="n">
        <v>45710</v>
      </c>
      <c r="B567" s="24" t="s">
        <v>665</v>
      </c>
      <c r="C567" s="43" t="s">
        <v>25</v>
      </c>
      <c r="D567" s="43" t="s">
        <v>81</v>
      </c>
      <c r="E567" s="24" t="n">
        <v>4</v>
      </c>
      <c r="F567" s="44" t="n">
        <v>3.5</v>
      </c>
      <c r="G567" s="24" t="n">
        <v>0</v>
      </c>
      <c r="H567" s="24" t="n">
        <v>12</v>
      </c>
      <c r="I567" s="44" t="n">
        <f aca="false">E567*F567*(1-G567/100)*(1+H567/100)</f>
        <v>15.68</v>
      </c>
      <c r="J567" s="24" t="s">
        <v>26</v>
      </c>
      <c r="K567" s="24" t="s">
        <v>88</v>
      </c>
      <c r="L567" s="43" t="s">
        <v>106</v>
      </c>
      <c r="M567" s="44" t="n">
        <f aca="false">F567*(1-G567/100)-2.2</f>
        <v>1.3</v>
      </c>
      <c r="N567" s="44" t="n">
        <f aca="false">M567*E567</f>
        <v>5.2</v>
      </c>
    </row>
    <row r="568" customFormat="false" ht="16.5" hidden="false" customHeight="true" outlineLevel="0" collapsed="false">
      <c r="A568" s="45" t="n">
        <v>45710</v>
      </c>
      <c r="B568" s="28" t="s">
        <v>666</v>
      </c>
      <c r="C568" s="46" t="s">
        <v>25</v>
      </c>
      <c r="D568" s="46" t="s">
        <v>81</v>
      </c>
      <c r="E568" s="28" t="n">
        <v>3</v>
      </c>
      <c r="F568" s="47" t="n">
        <v>3.5</v>
      </c>
      <c r="G568" s="28" t="n">
        <v>0</v>
      </c>
      <c r="H568" s="28" t="n">
        <v>12</v>
      </c>
      <c r="I568" s="47" t="n">
        <f aca="false">E568*F568*(1-G568/100)*(1+H568/100)</f>
        <v>11.76</v>
      </c>
      <c r="J568" s="28" t="s">
        <v>32</v>
      </c>
      <c r="K568" s="28" t="s">
        <v>97</v>
      </c>
      <c r="L568" s="46" t="s">
        <v>98</v>
      </c>
      <c r="M568" s="47" t="n">
        <f aca="false">F568*(1-G568/100)-2.2</f>
        <v>1.3</v>
      </c>
      <c r="N568" s="47" t="n">
        <f aca="false">M568*E568</f>
        <v>3.9</v>
      </c>
    </row>
    <row r="569" customFormat="false" ht="16.5" hidden="false" customHeight="true" outlineLevel="0" collapsed="false">
      <c r="A569" s="42" t="n">
        <v>45710</v>
      </c>
      <c r="B569" s="24" t="s">
        <v>667</v>
      </c>
      <c r="C569" s="43" t="s">
        <v>33</v>
      </c>
      <c r="D569" s="43" t="s">
        <v>104</v>
      </c>
      <c r="E569" s="24" t="n">
        <v>5</v>
      </c>
      <c r="F569" s="44" t="n">
        <v>5</v>
      </c>
      <c r="G569" s="24" t="n">
        <v>0</v>
      </c>
      <c r="H569" s="24" t="n">
        <v>12</v>
      </c>
      <c r="I569" s="44" t="n">
        <f aca="false">E569*F569*(1-G569/100)*(1+H569/100)</f>
        <v>28</v>
      </c>
      <c r="J569" s="24" t="s">
        <v>32</v>
      </c>
      <c r="K569" s="24" t="s">
        <v>85</v>
      </c>
      <c r="L569" s="43" t="s">
        <v>86</v>
      </c>
      <c r="M569" s="44" t="n">
        <f aca="false">F569*(1-G569/100)-2.5</f>
        <v>2.5</v>
      </c>
      <c r="N569" s="44" t="n">
        <f aca="false">M569*E569</f>
        <v>12.5</v>
      </c>
    </row>
    <row r="570" customFormat="false" ht="16.5" hidden="false" customHeight="true" outlineLevel="0" collapsed="false">
      <c r="A570" s="45" t="n">
        <v>45710</v>
      </c>
      <c r="B570" s="28" t="s">
        <v>668</v>
      </c>
      <c r="C570" s="46" t="s">
        <v>29</v>
      </c>
      <c r="D570" s="46" t="s">
        <v>104</v>
      </c>
      <c r="E570" s="28" t="n">
        <v>3</v>
      </c>
      <c r="F570" s="47" t="n">
        <v>2.5</v>
      </c>
      <c r="G570" s="28" t="n">
        <v>0</v>
      </c>
      <c r="H570" s="28" t="n">
        <v>12</v>
      </c>
      <c r="I570" s="47" t="n">
        <f aca="false">E570*F570*(1-G570/100)*(1+H570/100)</f>
        <v>8.4</v>
      </c>
      <c r="J570" s="28" t="s">
        <v>24</v>
      </c>
      <c r="K570" s="28" t="s">
        <v>82</v>
      </c>
      <c r="L570" s="46" t="s">
        <v>117</v>
      </c>
      <c r="M570" s="47" t="n">
        <f aca="false">F570*(1-G570/100)-1.1</f>
        <v>1.4</v>
      </c>
      <c r="N570" s="47" t="n">
        <f aca="false">M570*E570</f>
        <v>4.2</v>
      </c>
    </row>
    <row r="571" customFormat="false" ht="16.5" hidden="false" customHeight="true" outlineLevel="0" collapsed="false">
      <c r="A571" s="42" t="n">
        <v>45710</v>
      </c>
      <c r="B571" s="24" t="s">
        <v>669</v>
      </c>
      <c r="C571" s="43" t="s">
        <v>113</v>
      </c>
      <c r="D571" s="43" t="s">
        <v>96</v>
      </c>
      <c r="E571" s="24" t="n">
        <v>3</v>
      </c>
      <c r="F571" s="44" t="n">
        <v>6</v>
      </c>
      <c r="G571" s="24" t="n">
        <v>5</v>
      </c>
      <c r="H571" s="24" t="n">
        <v>12</v>
      </c>
      <c r="I571" s="44" t="n">
        <f aca="false">E571*F571*(1-G571/100)*(1+H571/100)</f>
        <v>19.152</v>
      </c>
      <c r="J571" s="24" t="s">
        <v>24</v>
      </c>
      <c r="K571" s="24" t="s">
        <v>88</v>
      </c>
      <c r="L571" s="43" t="s">
        <v>98</v>
      </c>
      <c r="M571" s="44" t="n">
        <f aca="false">F571*(1-G571/100)-2.8</f>
        <v>2.9</v>
      </c>
      <c r="N571" s="44" t="n">
        <f aca="false">M571*E571</f>
        <v>8.7</v>
      </c>
    </row>
    <row r="572" customFormat="false" ht="16.5" hidden="false" customHeight="true" outlineLevel="0" collapsed="false">
      <c r="A572" s="45" t="n">
        <v>45710</v>
      </c>
      <c r="B572" s="28" t="s">
        <v>670</v>
      </c>
      <c r="C572" s="46" t="s">
        <v>124</v>
      </c>
      <c r="D572" s="46" t="s">
        <v>96</v>
      </c>
      <c r="E572" s="28" t="n">
        <v>2</v>
      </c>
      <c r="F572" s="47" t="n">
        <v>4</v>
      </c>
      <c r="G572" s="28" t="n">
        <v>5</v>
      </c>
      <c r="H572" s="28" t="n">
        <v>12</v>
      </c>
      <c r="I572" s="47" t="n">
        <f aca="false">E572*F572*(1-G572/100)*(1+H572/100)</f>
        <v>8.512</v>
      </c>
      <c r="J572" s="28" t="s">
        <v>24</v>
      </c>
      <c r="K572" s="28" t="s">
        <v>88</v>
      </c>
      <c r="L572" s="46" t="s">
        <v>89</v>
      </c>
      <c r="M572" s="47" t="n">
        <f aca="false">F572*(1-G572/100)-1.8</f>
        <v>2</v>
      </c>
      <c r="N572" s="47" t="n">
        <f aca="false">M572*E572</f>
        <v>4</v>
      </c>
    </row>
    <row r="573" customFormat="false" ht="16.5" hidden="false" customHeight="true" outlineLevel="0" collapsed="false">
      <c r="A573" s="42" t="n">
        <v>45710</v>
      </c>
      <c r="B573" s="24" t="s">
        <v>671</v>
      </c>
      <c r="C573" s="43" t="s">
        <v>25</v>
      </c>
      <c r="D573" s="43" t="s">
        <v>81</v>
      </c>
      <c r="E573" s="24" t="n">
        <v>4</v>
      </c>
      <c r="F573" s="44" t="n">
        <v>3.5</v>
      </c>
      <c r="G573" s="24" t="n">
        <v>0</v>
      </c>
      <c r="H573" s="24" t="n">
        <v>12</v>
      </c>
      <c r="I573" s="44" t="n">
        <f aca="false">E573*F573*(1-G573/100)*(1+H573/100)</f>
        <v>15.68</v>
      </c>
      <c r="J573" s="24" t="s">
        <v>26</v>
      </c>
      <c r="K573" s="24" t="s">
        <v>97</v>
      </c>
      <c r="L573" s="43" t="s">
        <v>122</v>
      </c>
      <c r="M573" s="44" t="n">
        <f aca="false">F573*(1-G573/100)-2.2</f>
        <v>1.3</v>
      </c>
      <c r="N573" s="44" t="n">
        <f aca="false">M573*E573</f>
        <v>5.2</v>
      </c>
    </row>
    <row r="574" customFormat="false" ht="16.5" hidden="false" customHeight="true" outlineLevel="0" collapsed="false">
      <c r="A574" s="45" t="n">
        <v>45710</v>
      </c>
      <c r="B574" s="28" t="s">
        <v>672</v>
      </c>
      <c r="C574" s="46" t="s">
        <v>36</v>
      </c>
      <c r="D574" s="46" t="s">
        <v>96</v>
      </c>
      <c r="E574" s="28" t="n">
        <v>4</v>
      </c>
      <c r="F574" s="47" t="n">
        <v>8.5</v>
      </c>
      <c r="G574" s="28" t="n">
        <v>0</v>
      </c>
      <c r="H574" s="28" t="n">
        <v>12</v>
      </c>
      <c r="I574" s="47" t="n">
        <f aca="false">E574*F574*(1-G574/100)*(1+H574/100)</f>
        <v>38.08</v>
      </c>
      <c r="J574" s="28" t="s">
        <v>28</v>
      </c>
      <c r="K574" s="28" t="s">
        <v>85</v>
      </c>
      <c r="L574" s="46" t="s">
        <v>122</v>
      </c>
      <c r="M574" s="47" t="n">
        <f aca="false">F574*(1-G574/100)-4.2</f>
        <v>4.3</v>
      </c>
      <c r="N574" s="47" t="n">
        <f aca="false">M574*E574</f>
        <v>17.2</v>
      </c>
    </row>
    <row r="575" customFormat="false" ht="16.5" hidden="false" customHeight="true" outlineLevel="0" collapsed="false">
      <c r="A575" s="42" t="n">
        <v>45710</v>
      </c>
      <c r="B575" s="24" t="s">
        <v>673</v>
      </c>
      <c r="C575" s="43" t="s">
        <v>33</v>
      </c>
      <c r="D575" s="43" t="s">
        <v>104</v>
      </c>
      <c r="E575" s="24" t="n">
        <v>1</v>
      </c>
      <c r="F575" s="44" t="n">
        <v>5</v>
      </c>
      <c r="G575" s="24" t="n">
        <v>0</v>
      </c>
      <c r="H575" s="24" t="n">
        <v>12</v>
      </c>
      <c r="I575" s="44" t="n">
        <f aca="false">E575*F575*(1-G575/100)*(1+H575/100)</f>
        <v>5.6</v>
      </c>
      <c r="J575" s="24" t="s">
        <v>26</v>
      </c>
      <c r="K575" s="24" t="s">
        <v>88</v>
      </c>
      <c r="L575" s="43" t="s">
        <v>98</v>
      </c>
      <c r="M575" s="44" t="n">
        <f aca="false">F575*(1-G575/100)-2.5</f>
        <v>2.5</v>
      </c>
      <c r="N575" s="44" t="n">
        <f aca="false">M575*E575</f>
        <v>2.5</v>
      </c>
    </row>
    <row r="576" customFormat="false" ht="16.5" hidden="false" customHeight="true" outlineLevel="0" collapsed="false">
      <c r="A576" s="45" t="n">
        <v>45711</v>
      </c>
      <c r="B576" s="28" t="s">
        <v>674</v>
      </c>
      <c r="C576" s="46" t="s">
        <v>27</v>
      </c>
      <c r="D576" s="46" t="s">
        <v>81</v>
      </c>
      <c r="E576" s="28" t="n">
        <v>2</v>
      </c>
      <c r="F576" s="47" t="n">
        <v>4.5</v>
      </c>
      <c r="G576" s="28" t="n">
        <v>5</v>
      </c>
      <c r="H576" s="28" t="n">
        <v>12</v>
      </c>
      <c r="I576" s="47" t="n">
        <f aca="false">E576*F576*(1-G576/100)*(1+H576/100)</f>
        <v>9.576</v>
      </c>
      <c r="J576" s="28" t="s">
        <v>32</v>
      </c>
      <c r="K576" s="28" t="s">
        <v>97</v>
      </c>
      <c r="L576" s="46" t="s">
        <v>94</v>
      </c>
      <c r="M576" s="47" t="n">
        <f aca="false">F576*(1-G576/100)-2.8</f>
        <v>1.475</v>
      </c>
      <c r="N576" s="47" t="n">
        <f aca="false">M576*E576</f>
        <v>2.95</v>
      </c>
    </row>
    <row r="577" customFormat="false" ht="16.5" hidden="false" customHeight="true" outlineLevel="0" collapsed="false">
      <c r="A577" s="42" t="n">
        <v>45711</v>
      </c>
      <c r="B577" s="24" t="s">
        <v>675</v>
      </c>
      <c r="C577" s="43" t="s">
        <v>27</v>
      </c>
      <c r="D577" s="43" t="s">
        <v>81</v>
      </c>
      <c r="E577" s="24" t="n">
        <v>5</v>
      </c>
      <c r="F577" s="44" t="n">
        <v>4.5</v>
      </c>
      <c r="G577" s="24" t="n">
        <v>0</v>
      </c>
      <c r="H577" s="24" t="n">
        <v>12</v>
      </c>
      <c r="I577" s="44" t="n">
        <f aca="false">E577*F577*(1-G577/100)*(1+H577/100)</f>
        <v>25.2</v>
      </c>
      <c r="J577" s="24" t="s">
        <v>26</v>
      </c>
      <c r="K577" s="24" t="s">
        <v>85</v>
      </c>
      <c r="L577" s="43" t="s">
        <v>122</v>
      </c>
      <c r="M577" s="44" t="n">
        <f aca="false">F577*(1-G577/100)-2.8</f>
        <v>1.7</v>
      </c>
      <c r="N577" s="44" t="n">
        <f aca="false">M577*E577</f>
        <v>8.5</v>
      </c>
    </row>
    <row r="578" customFormat="false" ht="16.5" hidden="false" customHeight="true" outlineLevel="0" collapsed="false">
      <c r="A578" s="45" t="n">
        <v>45711</v>
      </c>
      <c r="B578" s="28" t="s">
        <v>676</v>
      </c>
      <c r="C578" s="46" t="s">
        <v>93</v>
      </c>
      <c r="D578" s="46" t="s">
        <v>81</v>
      </c>
      <c r="E578" s="28" t="n">
        <v>3</v>
      </c>
      <c r="F578" s="47" t="n">
        <v>3</v>
      </c>
      <c r="G578" s="28" t="n">
        <v>0</v>
      </c>
      <c r="H578" s="28" t="n">
        <v>12</v>
      </c>
      <c r="I578" s="47" t="n">
        <f aca="false">E578*F578*(1-G578/100)*(1+H578/100)</f>
        <v>10.08</v>
      </c>
      <c r="J578" s="28" t="s">
        <v>24</v>
      </c>
      <c r="K578" s="28" t="s">
        <v>82</v>
      </c>
      <c r="L578" s="46" t="s">
        <v>122</v>
      </c>
      <c r="M578" s="47" t="n">
        <f aca="false">F578*(1-G578/100)-1.5</f>
        <v>1.5</v>
      </c>
      <c r="N578" s="47" t="n">
        <f aca="false">M578*E578</f>
        <v>4.5</v>
      </c>
    </row>
    <row r="579" customFormat="false" ht="16.5" hidden="false" customHeight="true" outlineLevel="0" collapsed="false">
      <c r="A579" s="42" t="n">
        <v>45711</v>
      </c>
      <c r="B579" s="24" t="s">
        <v>677</v>
      </c>
      <c r="C579" s="43" t="s">
        <v>109</v>
      </c>
      <c r="D579" s="43" t="s">
        <v>110</v>
      </c>
      <c r="E579" s="24" t="n">
        <v>1</v>
      </c>
      <c r="F579" s="44" t="n">
        <v>3.5</v>
      </c>
      <c r="G579" s="24" t="n">
        <v>0</v>
      </c>
      <c r="H579" s="24" t="n">
        <v>12</v>
      </c>
      <c r="I579" s="44" t="n">
        <f aca="false">E579*F579*(1-G579/100)*(1+H579/100)</f>
        <v>3.92</v>
      </c>
      <c r="J579" s="24" t="s">
        <v>28</v>
      </c>
      <c r="K579" s="24" t="s">
        <v>82</v>
      </c>
      <c r="L579" s="43" t="s">
        <v>98</v>
      </c>
      <c r="M579" s="44" t="n">
        <f aca="false">F579*(1-G579/100)-1.4</f>
        <v>2.1</v>
      </c>
      <c r="N579" s="44" t="n">
        <f aca="false">M579*E579</f>
        <v>2.1</v>
      </c>
    </row>
    <row r="580" customFormat="false" ht="16.5" hidden="false" customHeight="true" outlineLevel="0" collapsed="false">
      <c r="A580" s="45" t="n">
        <v>45711</v>
      </c>
      <c r="B580" s="28" t="s">
        <v>678</v>
      </c>
      <c r="C580" s="46" t="s">
        <v>33</v>
      </c>
      <c r="D580" s="46" t="s">
        <v>104</v>
      </c>
      <c r="E580" s="28" t="n">
        <v>3</v>
      </c>
      <c r="F580" s="47" t="n">
        <v>5</v>
      </c>
      <c r="G580" s="28" t="n">
        <v>5</v>
      </c>
      <c r="H580" s="28" t="n">
        <v>12</v>
      </c>
      <c r="I580" s="47" t="n">
        <f aca="false">E580*F580*(1-G580/100)*(1+H580/100)</f>
        <v>15.96</v>
      </c>
      <c r="J580" s="28" t="s">
        <v>34</v>
      </c>
      <c r="K580" s="28" t="s">
        <v>101</v>
      </c>
      <c r="L580" s="46" t="s">
        <v>122</v>
      </c>
      <c r="M580" s="47" t="n">
        <f aca="false">F580*(1-G580/100)-2.5</f>
        <v>2.25</v>
      </c>
      <c r="N580" s="47" t="n">
        <f aca="false">M580*E580</f>
        <v>6.75</v>
      </c>
    </row>
    <row r="581" customFormat="false" ht="16.5" hidden="false" customHeight="true" outlineLevel="0" collapsed="false">
      <c r="A581" s="42" t="n">
        <v>45711</v>
      </c>
      <c r="B581" s="24" t="s">
        <v>679</v>
      </c>
      <c r="C581" s="43" t="s">
        <v>35</v>
      </c>
      <c r="D581" s="43" t="s">
        <v>81</v>
      </c>
      <c r="E581" s="24" t="n">
        <v>2</v>
      </c>
      <c r="F581" s="44" t="n">
        <v>1.5</v>
      </c>
      <c r="G581" s="24" t="n">
        <v>0</v>
      </c>
      <c r="H581" s="24" t="n">
        <v>12</v>
      </c>
      <c r="I581" s="44" t="n">
        <f aca="false">E581*F581*(1-G581/100)*(1+H581/100)</f>
        <v>3.36</v>
      </c>
      <c r="J581" s="24" t="s">
        <v>32</v>
      </c>
      <c r="K581" s="24" t="s">
        <v>85</v>
      </c>
      <c r="L581" s="43" t="s">
        <v>117</v>
      </c>
      <c r="M581" s="44" t="n">
        <f aca="false">F581*(1-G581/100)-0.6</f>
        <v>0.9</v>
      </c>
      <c r="N581" s="44" t="n">
        <f aca="false">M581*E581</f>
        <v>1.8</v>
      </c>
    </row>
    <row r="582" customFormat="false" ht="16.5" hidden="false" customHeight="true" outlineLevel="0" collapsed="false">
      <c r="A582" s="45" t="n">
        <v>45711</v>
      </c>
      <c r="B582" s="28" t="s">
        <v>680</v>
      </c>
      <c r="C582" s="46" t="s">
        <v>124</v>
      </c>
      <c r="D582" s="46" t="s">
        <v>96</v>
      </c>
      <c r="E582" s="28" t="n">
        <v>2</v>
      </c>
      <c r="F582" s="47" t="n">
        <v>4</v>
      </c>
      <c r="G582" s="28" t="n">
        <v>0</v>
      </c>
      <c r="H582" s="28" t="n">
        <v>12</v>
      </c>
      <c r="I582" s="47" t="n">
        <f aca="false">E582*F582*(1-G582/100)*(1+H582/100)</f>
        <v>8.96</v>
      </c>
      <c r="J582" s="28" t="s">
        <v>32</v>
      </c>
      <c r="K582" s="28" t="s">
        <v>101</v>
      </c>
      <c r="L582" s="46" t="s">
        <v>83</v>
      </c>
      <c r="M582" s="47" t="n">
        <f aca="false">F582*(1-G582/100)-1.8</f>
        <v>2.2</v>
      </c>
      <c r="N582" s="47" t="n">
        <f aca="false">M582*E582</f>
        <v>4.4</v>
      </c>
    </row>
    <row r="583" customFormat="false" ht="16.5" hidden="false" customHeight="true" outlineLevel="0" collapsed="false">
      <c r="A583" s="42" t="n">
        <v>45712</v>
      </c>
      <c r="B583" s="24" t="s">
        <v>681</v>
      </c>
      <c r="C583" s="43" t="s">
        <v>25</v>
      </c>
      <c r="D583" s="43" t="s">
        <v>81</v>
      </c>
      <c r="E583" s="24" t="n">
        <v>1</v>
      </c>
      <c r="F583" s="44" t="n">
        <v>3.5</v>
      </c>
      <c r="G583" s="24" t="n">
        <v>0</v>
      </c>
      <c r="H583" s="24" t="n">
        <v>12</v>
      </c>
      <c r="I583" s="44" t="n">
        <f aca="false">E583*F583*(1-G583/100)*(1+H583/100)</f>
        <v>3.92</v>
      </c>
      <c r="J583" s="24" t="s">
        <v>26</v>
      </c>
      <c r="K583" s="24" t="s">
        <v>82</v>
      </c>
      <c r="L583" s="43" t="s">
        <v>94</v>
      </c>
      <c r="M583" s="44" t="n">
        <f aca="false">F583*(1-G583/100)-2.2</f>
        <v>1.3</v>
      </c>
      <c r="N583" s="44" t="n">
        <f aca="false">M583*E583</f>
        <v>1.3</v>
      </c>
    </row>
    <row r="584" customFormat="false" ht="16.5" hidden="false" customHeight="true" outlineLevel="0" collapsed="false">
      <c r="A584" s="45" t="n">
        <v>45712</v>
      </c>
      <c r="B584" s="28" t="s">
        <v>682</v>
      </c>
      <c r="C584" s="46" t="s">
        <v>36</v>
      </c>
      <c r="D584" s="46" t="s">
        <v>96</v>
      </c>
      <c r="E584" s="28" t="n">
        <v>1</v>
      </c>
      <c r="F584" s="47" t="n">
        <v>8.5</v>
      </c>
      <c r="G584" s="28" t="n">
        <v>10</v>
      </c>
      <c r="H584" s="28" t="n">
        <v>12</v>
      </c>
      <c r="I584" s="47" t="n">
        <f aca="false">E584*F584*(1-G584/100)*(1+H584/100)</f>
        <v>8.568</v>
      </c>
      <c r="J584" s="28" t="s">
        <v>34</v>
      </c>
      <c r="K584" s="28" t="s">
        <v>97</v>
      </c>
      <c r="L584" s="46" t="s">
        <v>98</v>
      </c>
      <c r="M584" s="47" t="n">
        <f aca="false">F584*(1-G584/100)-4.2</f>
        <v>3.45</v>
      </c>
      <c r="N584" s="47" t="n">
        <f aca="false">M584*E584</f>
        <v>3.45</v>
      </c>
    </row>
    <row r="585" customFormat="false" ht="16.5" hidden="false" customHeight="true" outlineLevel="0" collapsed="false">
      <c r="A585" s="42" t="n">
        <v>45712</v>
      </c>
      <c r="B585" s="24" t="s">
        <v>683</v>
      </c>
      <c r="C585" s="43" t="s">
        <v>25</v>
      </c>
      <c r="D585" s="43" t="s">
        <v>81</v>
      </c>
      <c r="E585" s="24" t="n">
        <v>1</v>
      </c>
      <c r="F585" s="44" t="n">
        <v>3.5</v>
      </c>
      <c r="G585" s="24" t="n">
        <v>0</v>
      </c>
      <c r="H585" s="24" t="n">
        <v>12</v>
      </c>
      <c r="I585" s="44" t="n">
        <f aca="false">E585*F585*(1-G585/100)*(1+H585/100)</f>
        <v>3.92</v>
      </c>
      <c r="J585" s="24" t="s">
        <v>32</v>
      </c>
      <c r="K585" s="24" t="s">
        <v>82</v>
      </c>
      <c r="L585" s="43" t="s">
        <v>98</v>
      </c>
      <c r="M585" s="44" t="n">
        <f aca="false">F585*(1-G585/100)-2.2</f>
        <v>1.3</v>
      </c>
      <c r="N585" s="44" t="n">
        <f aca="false">M585*E585</f>
        <v>1.3</v>
      </c>
    </row>
    <row r="586" customFormat="false" ht="16.5" hidden="false" customHeight="true" outlineLevel="0" collapsed="false">
      <c r="A586" s="45" t="n">
        <v>45712</v>
      </c>
      <c r="B586" s="28" t="s">
        <v>684</v>
      </c>
      <c r="C586" s="46" t="s">
        <v>36</v>
      </c>
      <c r="D586" s="46" t="s">
        <v>96</v>
      </c>
      <c r="E586" s="28" t="n">
        <v>1</v>
      </c>
      <c r="F586" s="47" t="n">
        <v>8.5</v>
      </c>
      <c r="G586" s="28" t="n">
        <v>0</v>
      </c>
      <c r="H586" s="28" t="n">
        <v>12</v>
      </c>
      <c r="I586" s="47" t="n">
        <f aca="false">E586*F586*(1-G586/100)*(1+H586/100)</f>
        <v>9.52</v>
      </c>
      <c r="J586" s="28" t="s">
        <v>32</v>
      </c>
      <c r="K586" s="28" t="s">
        <v>101</v>
      </c>
      <c r="L586" s="46" t="s">
        <v>83</v>
      </c>
      <c r="M586" s="47" t="n">
        <f aca="false">F586*(1-G586/100)-4.2</f>
        <v>4.3</v>
      </c>
      <c r="N586" s="47" t="n">
        <f aca="false">M586*E586</f>
        <v>4.3</v>
      </c>
    </row>
    <row r="587" customFormat="false" ht="16.5" hidden="false" customHeight="true" outlineLevel="0" collapsed="false">
      <c r="A587" s="42" t="n">
        <v>45712</v>
      </c>
      <c r="B587" s="24" t="s">
        <v>685</v>
      </c>
      <c r="C587" s="43" t="s">
        <v>109</v>
      </c>
      <c r="D587" s="43" t="s">
        <v>110</v>
      </c>
      <c r="E587" s="24" t="n">
        <v>4</v>
      </c>
      <c r="F587" s="44" t="n">
        <v>3.5</v>
      </c>
      <c r="G587" s="24" t="n">
        <v>5</v>
      </c>
      <c r="H587" s="24" t="n">
        <v>12</v>
      </c>
      <c r="I587" s="44" t="n">
        <f aca="false">E587*F587*(1-G587/100)*(1+H587/100)</f>
        <v>14.896</v>
      </c>
      <c r="J587" s="24" t="s">
        <v>32</v>
      </c>
      <c r="K587" s="24" t="s">
        <v>101</v>
      </c>
      <c r="L587" s="43" t="s">
        <v>94</v>
      </c>
      <c r="M587" s="44" t="n">
        <f aca="false">F587*(1-G587/100)-1.4</f>
        <v>1.925</v>
      </c>
      <c r="N587" s="44" t="n">
        <f aca="false">M587*E587</f>
        <v>7.7</v>
      </c>
    </row>
    <row r="588" customFormat="false" ht="16.5" hidden="false" customHeight="true" outlineLevel="0" collapsed="false">
      <c r="A588" s="45" t="n">
        <v>45712</v>
      </c>
      <c r="B588" s="28" t="s">
        <v>686</v>
      </c>
      <c r="C588" s="46" t="s">
        <v>113</v>
      </c>
      <c r="D588" s="46" t="s">
        <v>96</v>
      </c>
      <c r="E588" s="28" t="n">
        <v>2</v>
      </c>
      <c r="F588" s="47" t="n">
        <v>6</v>
      </c>
      <c r="G588" s="28" t="n">
        <v>0</v>
      </c>
      <c r="H588" s="28" t="n">
        <v>12</v>
      </c>
      <c r="I588" s="47" t="n">
        <f aca="false">E588*F588*(1-G588/100)*(1+H588/100)</f>
        <v>13.44</v>
      </c>
      <c r="J588" s="28" t="s">
        <v>26</v>
      </c>
      <c r="K588" s="28" t="s">
        <v>82</v>
      </c>
      <c r="L588" s="46" t="s">
        <v>122</v>
      </c>
      <c r="M588" s="47" t="n">
        <f aca="false">F588*(1-G588/100)-2.8</f>
        <v>3.2</v>
      </c>
      <c r="N588" s="47" t="n">
        <f aca="false">M588*E588</f>
        <v>6.4</v>
      </c>
    </row>
    <row r="589" customFormat="false" ht="16.5" hidden="false" customHeight="true" outlineLevel="0" collapsed="false">
      <c r="A589" s="42" t="n">
        <v>45713</v>
      </c>
      <c r="B589" s="24" t="s">
        <v>687</v>
      </c>
      <c r="C589" s="43" t="s">
        <v>93</v>
      </c>
      <c r="D589" s="43" t="s">
        <v>81</v>
      </c>
      <c r="E589" s="24" t="n">
        <v>2</v>
      </c>
      <c r="F589" s="44" t="n">
        <v>3</v>
      </c>
      <c r="G589" s="24" t="n">
        <v>0</v>
      </c>
      <c r="H589" s="24" t="n">
        <v>12</v>
      </c>
      <c r="I589" s="44" t="n">
        <f aca="false">E589*F589*(1-G589/100)*(1+H589/100)</f>
        <v>6.72</v>
      </c>
      <c r="J589" s="24" t="s">
        <v>34</v>
      </c>
      <c r="K589" s="24" t="s">
        <v>88</v>
      </c>
      <c r="L589" s="43" t="s">
        <v>89</v>
      </c>
      <c r="M589" s="44" t="n">
        <f aca="false">F589*(1-G589/100)-1.5</f>
        <v>1.5</v>
      </c>
      <c r="N589" s="44" t="n">
        <f aca="false">M589*E589</f>
        <v>3</v>
      </c>
    </row>
    <row r="590" customFormat="false" ht="16.5" hidden="false" customHeight="true" outlineLevel="0" collapsed="false">
      <c r="A590" s="45" t="n">
        <v>45713</v>
      </c>
      <c r="B590" s="28" t="s">
        <v>688</v>
      </c>
      <c r="C590" s="46" t="s">
        <v>33</v>
      </c>
      <c r="D590" s="46" t="s">
        <v>104</v>
      </c>
      <c r="E590" s="28" t="n">
        <v>3</v>
      </c>
      <c r="F590" s="47" t="n">
        <v>5</v>
      </c>
      <c r="G590" s="28" t="n">
        <v>5</v>
      </c>
      <c r="H590" s="28" t="n">
        <v>12</v>
      </c>
      <c r="I590" s="47" t="n">
        <f aca="false">E590*F590*(1-G590/100)*(1+H590/100)</f>
        <v>15.96</v>
      </c>
      <c r="J590" s="28" t="s">
        <v>32</v>
      </c>
      <c r="K590" s="28" t="s">
        <v>88</v>
      </c>
      <c r="L590" s="46" t="s">
        <v>111</v>
      </c>
      <c r="M590" s="47" t="n">
        <f aca="false">F590*(1-G590/100)-2.5</f>
        <v>2.25</v>
      </c>
      <c r="N590" s="47" t="n">
        <f aca="false">M590*E590</f>
        <v>6.75</v>
      </c>
    </row>
    <row r="591" customFormat="false" ht="16.5" hidden="false" customHeight="true" outlineLevel="0" collapsed="false">
      <c r="A591" s="42" t="n">
        <v>45713</v>
      </c>
      <c r="B591" s="24" t="s">
        <v>689</v>
      </c>
      <c r="C591" s="43" t="s">
        <v>25</v>
      </c>
      <c r="D591" s="43" t="s">
        <v>81</v>
      </c>
      <c r="E591" s="24" t="n">
        <v>1</v>
      </c>
      <c r="F591" s="44" t="n">
        <v>3.5</v>
      </c>
      <c r="G591" s="24" t="n">
        <v>0</v>
      </c>
      <c r="H591" s="24" t="n">
        <v>12</v>
      </c>
      <c r="I591" s="44" t="n">
        <f aca="false">E591*F591*(1-G591/100)*(1+H591/100)</f>
        <v>3.92</v>
      </c>
      <c r="J591" s="24" t="s">
        <v>32</v>
      </c>
      <c r="K591" s="24" t="s">
        <v>82</v>
      </c>
      <c r="L591" s="43" t="s">
        <v>94</v>
      </c>
      <c r="M591" s="44" t="n">
        <f aca="false">F591*(1-G591/100)-2.2</f>
        <v>1.3</v>
      </c>
      <c r="N591" s="44" t="n">
        <f aca="false">M591*E591</f>
        <v>1.3</v>
      </c>
    </row>
    <row r="592" customFormat="false" ht="16.5" hidden="false" customHeight="true" outlineLevel="0" collapsed="false">
      <c r="A592" s="45" t="n">
        <v>45713</v>
      </c>
      <c r="B592" s="28" t="s">
        <v>690</v>
      </c>
      <c r="C592" s="46" t="s">
        <v>33</v>
      </c>
      <c r="D592" s="46" t="s">
        <v>104</v>
      </c>
      <c r="E592" s="28" t="n">
        <v>5</v>
      </c>
      <c r="F592" s="47" t="n">
        <v>5</v>
      </c>
      <c r="G592" s="28" t="n">
        <v>0</v>
      </c>
      <c r="H592" s="28" t="n">
        <v>12</v>
      </c>
      <c r="I592" s="47" t="n">
        <f aca="false">E592*F592*(1-G592/100)*(1+H592/100)</f>
        <v>28</v>
      </c>
      <c r="J592" s="28" t="s">
        <v>34</v>
      </c>
      <c r="K592" s="28" t="s">
        <v>101</v>
      </c>
      <c r="L592" s="46" t="s">
        <v>94</v>
      </c>
      <c r="M592" s="47" t="n">
        <f aca="false">F592*(1-G592/100)-2.5</f>
        <v>2.5</v>
      </c>
      <c r="N592" s="47" t="n">
        <f aca="false">M592*E592</f>
        <v>12.5</v>
      </c>
    </row>
    <row r="593" customFormat="false" ht="16.5" hidden="false" customHeight="true" outlineLevel="0" collapsed="false">
      <c r="A593" s="42" t="n">
        <v>45713</v>
      </c>
      <c r="B593" s="24" t="s">
        <v>691</v>
      </c>
      <c r="C593" s="43" t="s">
        <v>36</v>
      </c>
      <c r="D593" s="43" t="s">
        <v>96</v>
      </c>
      <c r="E593" s="24" t="n">
        <v>4</v>
      </c>
      <c r="F593" s="44" t="n">
        <v>8.5</v>
      </c>
      <c r="G593" s="24" t="n">
        <v>10</v>
      </c>
      <c r="H593" s="24" t="n">
        <v>12</v>
      </c>
      <c r="I593" s="44" t="n">
        <f aca="false">E593*F593*(1-G593/100)*(1+H593/100)</f>
        <v>34.272</v>
      </c>
      <c r="J593" s="24" t="s">
        <v>32</v>
      </c>
      <c r="K593" s="24" t="s">
        <v>97</v>
      </c>
      <c r="L593" s="43" t="s">
        <v>89</v>
      </c>
      <c r="M593" s="44" t="n">
        <f aca="false">F593*(1-G593/100)-4.2</f>
        <v>3.45</v>
      </c>
      <c r="N593" s="44" t="n">
        <f aca="false">M593*E593</f>
        <v>13.8</v>
      </c>
    </row>
    <row r="594" customFormat="false" ht="16.5" hidden="false" customHeight="true" outlineLevel="0" collapsed="false">
      <c r="A594" s="45" t="n">
        <v>45713</v>
      </c>
      <c r="B594" s="28" t="s">
        <v>692</v>
      </c>
      <c r="C594" s="46" t="s">
        <v>124</v>
      </c>
      <c r="D594" s="46" t="s">
        <v>96</v>
      </c>
      <c r="E594" s="28" t="n">
        <v>3</v>
      </c>
      <c r="F594" s="47" t="n">
        <v>4</v>
      </c>
      <c r="G594" s="28" t="n">
        <v>5</v>
      </c>
      <c r="H594" s="28" t="n">
        <v>12</v>
      </c>
      <c r="I594" s="47" t="n">
        <f aca="false">E594*F594*(1-G594/100)*(1+H594/100)</f>
        <v>12.768</v>
      </c>
      <c r="J594" s="28" t="s">
        <v>28</v>
      </c>
      <c r="K594" s="28" t="s">
        <v>82</v>
      </c>
      <c r="L594" s="46" t="s">
        <v>86</v>
      </c>
      <c r="M594" s="47" t="n">
        <f aca="false">F594*(1-G594/100)-1.8</f>
        <v>2</v>
      </c>
      <c r="N594" s="47" t="n">
        <f aca="false">M594*E594</f>
        <v>6</v>
      </c>
    </row>
    <row r="595" customFormat="false" ht="16.5" hidden="false" customHeight="true" outlineLevel="0" collapsed="false">
      <c r="A595" s="42" t="n">
        <v>45713</v>
      </c>
      <c r="B595" s="24" t="s">
        <v>693</v>
      </c>
      <c r="C595" s="43" t="s">
        <v>36</v>
      </c>
      <c r="D595" s="43" t="s">
        <v>96</v>
      </c>
      <c r="E595" s="24" t="n">
        <v>5</v>
      </c>
      <c r="F595" s="44" t="n">
        <v>8.5</v>
      </c>
      <c r="G595" s="24" t="n">
        <v>0</v>
      </c>
      <c r="H595" s="24" t="n">
        <v>12</v>
      </c>
      <c r="I595" s="44" t="n">
        <f aca="false">E595*F595*(1-G595/100)*(1+H595/100)</f>
        <v>47.6</v>
      </c>
      <c r="J595" s="24" t="s">
        <v>24</v>
      </c>
      <c r="K595" s="24" t="s">
        <v>97</v>
      </c>
      <c r="L595" s="43" t="s">
        <v>86</v>
      </c>
      <c r="M595" s="44" t="n">
        <f aca="false">F595*(1-G595/100)-4.2</f>
        <v>4.3</v>
      </c>
      <c r="N595" s="44" t="n">
        <f aca="false">M595*E595</f>
        <v>21.5</v>
      </c>
    </row>
    <row r="596" customFormat="false" ht="16.5" hidden="false" customHeight="true" outlineLevel="0" collapsed="false">
      <c r="A596" s="45" t="n">
        <v>45713</v>
      </c>
      <c r="B596" s="28" t="s">
        <v>694</v>
      </c>
      <c r="C596" s="46" t="s">
        <v>93</v>
      </c>
      <c r="D596" s="46" t="s">
        <v>81</v>
      </c>
      <c r="E596" s="28" t="n">
        <v>5</v>
      </c>
      <c r="F596" s="47" t="n">
        <v>3</v>
      </c>
      <c r="G596" s="28" t="n">
        <v>0</v>
      </c>
      <c r="H596" s="28" t="n">
        <v>12</v>
      </c>
      <c r="I596" s="47" t="n">
        <f aca="false">E596*F596*(1-G596/100)*(1+H596/100)</f>
        <v>16.8</v>
      </c>
      <c r="J596" s="28" t="s">
        <v>34</v>
      </c>
      <c r="K596" s="28" t="s">
        <v>82</v>
      </c>
      <c r="L596" s="46" t="s">
        <v>83</v>
      </c>
      <c r="M596" s="47" t="n">
        <f aca="false">F596*(1-G596/100)-1.5</f>
        <v>1.5</v>
      </c>
      <c r="N596" s="47" t="n">
        <f aca="false">M596*E596</f>
        <v>7.5</v>
      </c>
    </row>
    <row r="597" customFormat="false" ht="16.5" hidden="false" customHeight="true" outlineLevel="0" collapsed="false">
      <c r="A597" s="42" t="n">
        <v>45713</v>
      </c>
      <c r="B597" s="24" t="s">
        <v>695</v>
      </c>
      <c r="C597" s="43" t="s">
        <v>27</v>
      </c>
      <c r="D597" s="43" t="s">
        <v>81</v>
      </c>
      <c r="E597" s="24" t="n">
        <v>2</v>
      </c>
      <c r="F597" s="44" t="n">
        <v>4.5</v>
      </c>
      <c r="G597" s="24" t="n">
        <v>0</v>
      </c>
      <c r="H597" s="24" t="n">
        <v>12</v>
      </c>
      <c r="I597" s="44" t="n">
        <f aca="false">E597*F597*(1-G597/100)*(1+H597/100)</f>
        <v>10.08</v>
      </c>
      <c r="J597" s="24" t="s">
        <v>28</v>
      </c>
      <c r="K597" s="24" t="s">
        <v>88</v>
      </c>
      <c r="L597" s="43" t="s">
        <v>86</v>
      </c>
      <c r="M597" s="44" t="n">
        <f aca="false">F597*(1-G597/100)-2.8</f>
        <v>1.7</v>
      </c>
      <c r="N597" s="44" t="n">
        <f aca="false">M597*E597</f>
        <v>3.4</v>
      </c>
    </row>
    <row r="598" customFormat="false" ht="16.5" hidden="false" customHeight="true" outlineLevel="0" collapsed="false">
      <c r="A598" s="45" t="n">
        <v>45714</v>
      </c>
      <c r="B598" s="28" t="s">
        <v>696</v>
      </c>
      <c r="C598" s="46" t="s">
        <v>109</v>
      </c>
      <c r="D598" s="46" t="s">
        <v>110</v>
      </c>
      <c r="E598" s="28" t="n">
        <v>4</v>
      </c>
      <c r="F598" s="47" t="n">
        <v>3.5</v>
      </c>
      <c r="G598" s="28" t="n">
        <v>0</v>
      </c>
      <c r="H598" s="28" t="n">
        <v>12</v>
      </c>
      <c r="I598" s="47" t="n">
        <f aca="false">E598*F598*(1-G598/100)*(1+H598/100)</f>
        <v>15.68</v>
      </c>
      <c r="J598" s="28" t="s">
        <v>26</v>
      </c>
      <c r="K598" s="28" t="s">
        <v>82</v>
      </c>
      <c r="L598" s="46" t="s">
        <v>91</v>
      </c>
      <c r="M598" s="47" t="n">
        <f aca="false">F598*(1-G598/100)-1.4</f>
        <v>2.1</v>
      </c>
      <c r="N598" s="47" t="n">
        <f aca="false">M598*E598</f>
        <v>8.4</v>
      </c>
    </row>
    <row r="599" customFormat="false" ht="16.5" hidden="false" customHeight="true" outlineLevel="0" collapsed="false">
      <c r="A599" s="42" t="n">
        <v>45714</v>
      </c>
      <c r="B599" s="24" t="s">
        <v>697</v>
      </c>
      <c r="C599" s="43" t="s">
        <v>109</v>
      </c>
      <c r="D599" s="43" t="s">
        <v>110</v>
      </c>
      <c r="E599" s="24" t="n">
        <v>3</v>
      </c>
      <c r="F599" s="44" t="n">
        <v>3.5</v>
      </c>
      <c r="G599" s="24" t="n">
        <v>0</v>
      </c>
      <c r="H599" s="24" t="n">
        <v>12</v>
      </c>
      <c r="I599" s="44" t="n">
        <f aca="false">E599*F599*(1-G599/100)*(1+H599/100)</f>
        <v>11.76</v>
      </c>
      <c r="J599" s="24" t="s">
        <v>34</v>
      </c>
      <c r="K599" s="24" t="s">
        <v>101</v>
      </c>
      <c r="L599" s="43" t="s">
        <v>106</v>
      </c>
      <c r="M599" s="44" t="n">
        <f aca="false">F599*(1-G599/100)-1.4</f>
        <v>2.1</v>
      </c>
      <c r="N599" s="44" t="n">
        <f aca="false">M599*E599</f>
        <v>6.3</v>
      </c>
    </row>
    <row r="600" customFormat="false" ht="16.5" hidden="false" customHeight="true" outlineLevel="0" collapsed="false">
      <c r="A600" s="45" t="n">
        <v>45714</v>
      </c>
      <c r="B600" s="28" t="s">
        <v>698</v>
      </c>
      <c r="C600" s="46" t="s">
        <v>109</v>
      </c>
      <c r="D600" s="46" t="s">
        <v>110</v>
      </c>
      <c r="E600" s="28" t="n">
        <v>5</v>
      </c>
      <c r="F600" s="47" t="n">
        <v>3.5</v>
      </c>
      <c r="G600" s="28" t="n">
        <v>0</v>
      </c>
      <c r="H600" s="28" t="n">
        <v>12</v>
      </c>
      <c r="I600" s="47" t="n">
        <f aca="false">E600*F600*(1-G600/100)*(1+H600/100)</f>
        <v>19.6</v>
      </c>
      <c r="J600" s="28" t="s">
        <v>34</v>
      </c>
      <c r="K600" s="28" t="s">
        <v>82</v>
      </c>
      <c r="L600" s="46" t="s">
        <v>111</v>
      </c>
      <c r="M600" s="47" t="n">
        <f aca="false">F600*(1-G600/100)-1.4</f>
        <v>2.1</v>
      </c>
      <c r="N600" s="47" t="n">
        <f aca="false">M600*E600</f>
        <v>10.5</v>
      </c>
    </row>
    <row r="601" customFormat="false" ht="16.5" hidden="false" customHeight="true" outlineLevel="0" collapsed="false">
      <c r="A601" s="42" t="n">
        <v>45714</v>
      </c>
      <c r="B601" s="24" t="s">
        <v>699</v>
      </c>
      <c r="C601" s="43" t="s">
        <v>124</v>
      </c>
      <c r="D601" s="43" t="s">
        <v>96</v>
      </c>
      <c r="E601" s="24" t="n">
        <v>3</v>
      </c>
      <c r="F601" s="44" t="n">
        <v>4</v>
      </c>
      <c r="G601" s="24" t="n">
        <v>0</v>
      </c>
      <c r="H601" s="24" t="n">
        <v>12</v>
      </c>
      <c r="I601" s="44" t="n">
        <f aca="false">E601*F601*(1-G601/100)*(1+H601/100)</f>
        <v>13.44</v>
      </c>
      <c r="J601" s="24" t="s">
        <v>32</v>
      </c>
      <c r="K601" s="24" t="s">
        <v>101</v>
      </c>
      <c r="L601" s="43" t="s">
        <v>98</v>
      </c>
      <c r="M601" s="44" t="n">
        <f aca="false">F601*(1-G601/100)-1.8</f>
        <v>2.2</v>
      </c>
      <c r="N601" s="44" t="n">
        <f aca="false">M601*E601</f>
        <v>6.6</v>
      </c>
    </row>
    <row r="602" customFormat="false" ht="16.5" hidden="false" customHeight="true" outlineLevel="0" collapsed="false">
      <c r="A602" s="45" t="n">
        <v>45714</v>
      </c>
      <c r="B602" s="28" t="s">
        <v>700</v>
      </c>
      <c r="C602" s="46" t="s">
        <v>25</v>
      </c>
      <c r="D602" s="46" t="s">
        <v>81</v>
      </c>
      <c r="E602" s="28" t="n">
        <v>2</v>
      </c>
      <c r="F602" s="47" t="n">
        <v>3.5</v>
      </c>
      <c r="G602" s="28" t="n">
        <v>10</v>
      </c>
      <c r="H602" s="28" t="n">
        <v>12</v>
      </c>
      <c r="I602" s="47" t="n">
        <f aca="false">E602*F602*(1-G602/100)*(1+H602/100)</f>
        <v>7.056</v>
      </c>
      <c r="J602" s="28" t="s">
        <v>26</v>
      </c>
      <c r="K602" s="28" t="s">
        <v>101</v>
      </c>
      <c r="L602" s="46" t="s">
        <v>117</v>
      </c>
      <c r="M602" s="47" t="n">
        <f aca="false">F602*(1-G602/100)-2.2</f>
        <v>0.95</v>
      </c>
      <c r="N602" s="47" t="n">
        <f aca="false">M602*E602</f>
        <v>1.9</v>
      </c>
    </row>
    <row r="603" customFormat="false" ht="16.5" hidden="false" customHeight="true" outlineLevel="0" collapsed="false">
      <c r="A603" s="42" t="n">
        <v>45714</v>
      </c>
      <c r="B603" s="24" t="s">
        <v>701</v>
      </c>
      <c r="C603" s="43" t="s">
        <v>93</v>
      </c>
      <c r="D603" s="43" t="s">
        <v>81</v>
      </c>
      <c r="E603" s="24" t="n">
        <v>1</v>
      </c>
      <c r="F603" s="44" t="n">
        <v>3</v>
      </c>
      <c r="G603" s="24" t="n">
        <v>0</v>
      </c>
      <c r="H603" s="24" t="n">
        <v>12</v>
      </c>
      <c r="I603" s="44" t="n">
        <f aca="false">E603*F603*(1-G603/100)*(1+H603/100)</f>
        <v>3.36</v>
      </c>
      <c r="J603" s="24" t="s">
        <v>34</v>
      </c>
      <c r="K603" s="24" t="s">
        <v>82</v>
      </c>
      <c r="L603" s="43" t="s">
        <v>83</v>
      </c>
      <c r="M603" s="44" t="n">
        <f aca="false">F603*(1-G603/100)-1.5</f>
        <v>1.5</v>
      </c>
      <c r="N603" s="44" t="n">
        <f aca="false">M603*E603</f>
        <v>1.5</v>
      </c>
    </row>
    <row r="604" customFormat="false" ht="16.5" hidden="false" customHeight="true" outlineLevel="0" collapsed="false">
      <c r="A604" s="45" t="n">
        <v>45714</v>
      </c>
      <c r="B604" s="28" t="s">
        <v>702</v>
      </c>
      <c r="C604" s="46" t="s">
        <v>36</v>
      </c>
      <c r="D604" s="46" t="s">
        <v>96</v>
      </c>
      <c r="E604" s="28" t="n">
        <v>2</v>
      </c>
      <c r="F604" s="47" t="n">
        <v>8.5</v>
      </c>
      <c r="G604" s="28" t="n">
        <v>0</v>
      </c>
      <c r="H604" s="28" t="n">
        <v>12</v>
      </c>
      <c r="I604" s="47" t="n">
        <f aca="false">E604*F604*(1-G604/100)*(1+H604/100)</f>
        <v>19.04</v>
      </c>
      <c r="J604" s="28" t="s">
        <v>24</v>
      </c>
      <c r="K604" s="28" t="s">
        <v>101</v>
      </c>
      <c r="L604" s="46" t="s">
        <v>83</v>
      </c>
      <c r="M604" s="47" t="n">
        <f aca="false">F604*(1-G604/100)-4.2</f>
        <v>4.3</v>
      </c>
      <c r="N604" s="47" t="n">
        <f aca="false">M604*E604</f>
        <v>8.6</v>
      </c>
    </row>
    <row r="605" customFormat="false" ht="16.5" hidden="false" customHeight="true" outlineLevel="0" collapsed="false">
      <c r="A605" s="42" t="n">
        <v>45714</v>
      </c>
      <c r="B605" s="24" t="s">
        <v>703</v>
      </c>
      <c r="C605" s="43" t="s">
        <v>109</v>
      </c>
      <c r="D605" s="43" t="s">
        <v>110</v>
      </c>
      <c r="E605" s="24" t="n">
        <v>2</v>
      </c>
      <c r="F605" s="44" t="n">
        <v>3.5</v>
      </c>
      <c r="G605" s="24" t="n">
        <v>0</v>
      </c>
      <c r="H605" s="24" t="n">
        <v>12</v>
      </c>
      <c r="I605" s="44" t="n">
        <f aca="false">E605*F605*(1-G605/100)*(1+H605/100)</f>
        <v>7.84</v>
      </c>
      <c r="J605" s="24" t="s">
        <v>34</v>
      </c>
      <c r="K605" s="24" t="s">
        <v>97</v>
      </c>
      <c r="L605" s="43" t="s">
        <v>98</v>
      </c>
      <c r="M605" s="44" t="n">
        <f aca="false">F605*(1-G605/100)-1.4</f>
        <v>2.1</v>
      </c>
      <c r="N605" s="44" t="n">
        <f aca="false">M605*E605</f>
        <v>4.2</v>
      </c>
    </row>
    <row r="606" customFormat="false" ht="16.5" hidden="false" customHeight="true" outlineLevel="0" collapsed="false">
      <c r="A606" s="45" t="n">
        <v>45715</v>
      </c>
      <c r="B606" s="28" t="s">
        <v>704</v>
      </c>
      <c r="C606" s="46" t="s">
        <v>113</v>
      </c>
      <c r="D606" s="46" t="s">
        <v>96</v>
      </c>
      <c r="E606" s="28" t="n">
        <v>5</v>
      </c>
      <c r="F606" s="47" t="n">
        <v>6</v>
      </c>
      <c r="G606" s="28" t="n">
        <v>0</v>
      </c>
      <c r="H606" s="28" t="n">
        <v>12</v>
      </c>
      <c r="I606" s="47" t="n">
        <f aca="false">E606*F606*(1-G606/100)*(1+H606/100)</f>
        <v>33.6</v>
      </c>
      <c r="J606" s="28" t="s">
        <v>28</v>
      </c>
      <c r="K606" s="28" t="s">
        <v>97</v>
      </c>
      <c r="L606" s="46" t="s">
        <v>106</v>
      </c>
      <c r="M606" s="47" t="n">
        <f aca="false">F606*(1-G606/100)-2.8</f>
        <v>3.2</v>
      </c>
      <c r="N606" s="47" t="n">
        <f aca="false">M606*E606</f>
        <v>16</v>
      </c>
    </row>
    <row r="607" customFormat="false" ht="16.5" hidden="false" customHeight="true" outlineLevel="0" collapsed="false">
      <c r="A607" s="42" t="n">
        <v>45715</v>
      </c>
      <c r="B607" s="24" t="s">
        <v>705</v>
      </c>
      <c r="C607" s="43" t="s">
        <v>29</v>
      </c>
      <c r="D607" s="43" t="s">
        <v>104</v>
      </c>
      <c r="E607" s="24" t="n">
        <v>2</v>
      </c>
      <c r="F607" s="44" t="n">
        <v>2.5</v>
      </c>
      <c r="G607" s="24" t="n">
        <v>5</v>
      </c>
      <c r="H607" s="24" t="n">
        <v>12</v>
      </c>
      <c r="I607" s="44" t="n">
        <f aca="false">E607*F607*(1-G607/100)*(1+H607/100)</f>
        <v>5.32</v>
      </c>
      <c r="J607" s="24" t="s">
        <v>32</v>
      </c>
      <c r="K607" s="24" t="s">
        <v>97</v>
      </c>
      <c r="L607" s="43" t="s">
        <v>83</v>
      </c>
      <c r="M607" s="44" t="n">
        <f aca="false">F607*(1-G607/100)-1.1</f>
        <v>1.275</v>
      </c>
      <c r="N607" s="44" t="n">
        <f aca="false">M607*E607</f>
        <v>2.55</v>
      </c>
    </row>
    <row r="608" customFormat="false" ht="16.5" hidden="false" customHeight="true" outlineLevel="0" collapsed="false">
      <c r="A608" s="45" t="n">
        <v>45715</v>
      </c>
      <c r="B608" s="28" t="s">
        <v>706</v>
      </c>
      <c r="C608" s="46" t="s">
        <v>124</v>
      </c>
      <c r="D608" s="46" t="s">
        <v>96</v>
      </c>
      <c r="E608" s="28" t="n">
        <v>5</v>
      </c>
      <c r="F608" s="47" t="n">
        <v>4</v>
      </c>
      <c r="G608" s="28" t="n">
        <v>0</v>
      </c>
      <c r="H608" s="28" t="n">
        <v>12</v>
      </c>
      <c r="I608" s="47" t="n">
        <f aca="false">E608*F608*(1-G608/100)*(1+H608/100)</f>
        <v>22.4</v>
      </c>
      <c r="J608" s="28" t="s">
        <v>26</v>
      </c>
      <c r="K608" s="28" t="s">
        <v>88</v>
      </c>
      <c r="L608" s="46" t="s">
        <v>83</v>
      </c>
      <c r="M608" s="47" t="n">
        <f aca="false">F608*(1-G608/100)-1.8</f>
        <v>2.2</v>
      </c>
      <c r="N608" s="47" t="n">
        <f aca="false">M608*E608</f>
        <v>11</v>
      </c>
    </row>
    <row r="609" customFormat="false" ht="16.5" hidden="false" customHeight="true" outlineLevel="0" collapsed="false">
      <c r="A609" s="42" t="n">
        <v>45715</v>
      </c>
      <c r="B609" s="24" t="s">
        <v>707</v>
      </c>
      <c r="C609" s="43" t="s">
        <v>113</v>
      </c>
      <c r="D609" s="43" t="s">
        <v>96</v>
      </c>
      <c r="E609" s="24" t="n">
        <v>3</v>
      </c>
      <c r="F609" s="44" t="n">
        <v>6</v>
      </c>
      <c r="G609" s="24" t="n">
        <v>0</v>
      </c>
      <c r="H609" s="24" t="n">
        <v>12</v>
      </c>
      <c r="I609" s="44" t="n">
        <f aca="false">E609*F609*(1-G609/100)*(1+H609/100)</f>
        <v>20.16</v>
      </c>
      <c r="J609" s="24" t="s">
        <v>26</v>
      </c>
      <c r="K609" s="24" t="s">
        <v>82</v>
      </c>
      <c r="L609" s="43" t="s">
        <v>86</v>
      </c>
      <c r="M609" s="44" t="n">
        <f aca="false">F609*(1-G609/100)-2.8</f>
        <v>3.2</v>
      </c>
      <c r="N609" s="44" t="n">
        <f aca="false">M609*E609</f>
        <v>9.6</v>
      </c>
    </row>
    <row r="610" customFormat="false" ht="16.5" hidden="false" customHeight="true" outlineLevel="0" collapsed="false">
      <c r="A610" s="45" t="n">
        <v>45715</v>
      </c>
      <c r="B610" s="28" t="s">
        <v>708</v>
      </c>
      <c r="C610" s="46" t="s">
        <v>109</v>
      </c>
      <c r="D610" s="46" t="s">
        <v>110</v>
      </c>
      <c r="E610" s="28" t="n">
        <v>4</v>
      </c>
      <c r="F610" s="47" t="n">
        <v>3.5</v>
      </c>
      <c r="G610" s="28" t="n">
        <v>10</v>
      </c>
      <c r="H610" s="28" t="n">
        <v>12</v>
      </c>
      <c r="I610" s="47" t="n">
        <f aca="false">E610*F610*(1-G610/100)*(1+H610/100)</f>
        <v>14.112</v>
      </c>
      <c r="J610" s="28" t="s">
        <v>24</v>
      </c>
      <c r="K610" s="28" t="s">
        <v>82</v>
      </c>
      <c r="L610" s="46" t="s">
        <v>89</v>
      </c>
      <c r="M610" s="47" t="n">
        <f aca="false">F610*(1-G610/100)-1.4</f>
        <v>1.75</v>
      </c>
      <c r="N610" s="47" t="n">
        <f aca="false">M610*E610</f>
        <v>7</v>
      </c>
    </row>
    <row r="611" customFormat="false" ht="16.5" hidden="false" customHeight="true" outlineLevel="0" collapsed="false">
      <c r="A611" s="42" t="n">
        <v>45715</v>
      </c>
      <c r="B611" s="24" t="s">
        <v>709</v>
      </c>
      <c r="C611" s="43" t="s">
        <v>36</v>
      </c>
      <c r="D611" s="43" t="s">
        <v>96</v>
      </c>
      <c r="E611" s="24" t="n">
        <v>5</v>
      </c>
      <c r="F611" s="44" t="n">
        <v>8.5</v>
      </c>
      <c r="G611" s="24" t="n">
        <v>0</v>
      </c>
      <c r="H611" s="24" t="n">
        <v>12</v>
      </c>
      <c r="I611" s="44" t="n">
        <f aca="false">E611*F611*(1-G611/100)*(1+H611/100)</f>
        <v>47.6</v>
      </c>
      <c r="J611" s="24" t="s">
        <v>34</v>
      </c>
      <c r="K611" s="24" t="s">
        <v>101</v>
      </c>
      <c r="L611" s="43" t="s">
        <v>111</v>
      </c>
      <c r="M611" s="44" t="n">
        <f aca="false">F611*(1-G611/100)-4.2</f>
        <v>4.3</v>
      </c>
      <c r="N611" s="44" t="n">
        <f aca="false">M611*E611</f>
        <v>21.5</v>
      </c>
    </row>
    <row r="612" customFormat="false" ht="16.5" hidden="false" customHeight="true" outlineLevel="0" collapsed="false">
      <c r="A612" s="45" t="n">
        <v>45715</v>
      </c>
      <c r="B612" s="28" t="s">
        <v>710</v>
      </c>
      <c r="C612" s="46" t="s">
        <v>29</v>
      </c>
      <c r="D612" s="46" t="s">
        <v>104</v>
      </c>
      <c r="E612" s="28" t="n">
        <v>3</v>
      </c>
      <c r="F612" s="47" t="n">
        <v>2.5</v>
      </c>
      <c r="G612" s="28" t="n">
        <v>0</v>
      </c>
      <c r="H612" s="28" t="n">
        <v>12</v>
      </c>
      <c r="I612" s="47" t="n">
        <f aca="false">E612*F612*(1-G612/100)*(1+H612/100)</f>
        <v>8.4</v>
      </c>
      <c r="J612" s="28" t="s">
        <v>26</v>
      </c>
      <c r="K612" s="28" t="s">
        <v>97</v>
      </c>
      <c r="L612" s="46" t="s">
        <v>106</v>
      </c>
      <c r="M612" s="47" t="n">
        <f aca="false">F612*(1-G612/100)-1.1</f>
        <v>1.4</v>
      </c>
      <c r="N612" s="47" t="n">
        <f aca="false">M612*E612</f>
        <v>4.2</v>
      </c>
    </row>
    <row r="613" customFormat="false" ht="16.5" hidden="false" customHeight="true" outlineLevel="0" collapsed="false">
      <c r="A613" s="42" t="n">
        <v>45715</v>
      </c>
      <c r="B613" s="24" t="s">
        <v>711</v>
      </c>
      <c r="C613" s="43" t="s">
        <v>29</v>
      </c>
      <c r="D613" s="43" t="s">
        <v>104</v>
      </c>
      <c r="E613" s="24" t="n">
        <v>1</v>
      </c>
      <c r="F613" s="44" t="n">
        <v>2.5</v>
      </c>
      <c r="G613" s="24" t="n">
        <v>0</v>
      </c>
      <c r="H613" s="24" t="n">
        <v>12</v>
      </c>
      <c r="I613" s="44" t="n">
        <f aca="false">E613*F613*(1-G613/100)*(1+H613/100)</f>
        <v>2.8</v>
      </c>
      <c r="J613" s="24" t="s">
        <v>32</v>
      </c>
      <c r="K613" s="24" t="s">
        <v>101</v>
      </c>
      <c r="L613" s="43" t="s">
        <v>122</v>
      </c>
      <c r="M613" s="44" t="n">
        <f aca="false">F613*(1-G613/100)-1.1</f>
        <v>1.4</v>
      </c>
      <c r="N613" s="44" t="n">
        <f aca="false">M613*E613</f>
        <v>1.4</v>
      </c>
    </row>
    <row r="614" customFormat="false" ht="16.5" hidden="false" customHeight="true" outlineLevel="0" collapsed="false">
      <c r="A614" s="45" t="n">
        <v>45715</v>
      </c>
      <c r="B614" s="28" t="s">
        <v>712</v>
      </c>
      <c r="C614" s="46" t="s">
        <v>33</v>
      </c>
      <c r="D614" s="46" t="s">
        <v>104</v>
      </c>
      <c r="E614" s="28" t="n">
        <v>2</v>
      </c>
      <c r="F614" s="47" t="n">
        <v>5</v>
      </c>
      <c r="G614" s="28" t="n">
        <v>0</v>
      </c>
      <c r="H614" s="28" t="n">
        <v>12</v>
      </c>
      <c r="I614" s="47" t="n">
        <f aca="false">E614*F614*(1-G614/100)*(1+H614/100)</f>
        <v>11.2</v>
      </c>
      <c r="J614" s="28" t="s">
        <v>28</v>
      </c>
      <c r="K614" s="28" t="s">
        <v>97</v>
      </c>
      <c r="L614" s="46" t="s">
        <v>98</v>
      </c>
      <c r="M614" s="47" t="n">
        <f aca="false">F614*(1-G614/100)-2.5</f>
        <v>2.5</v>
      </c>
      <c r="N614" s="47" t="n">
        <f aca="false">M614*E614</f>
        <v>5</v>
      </c>
    </row>
    <row r="615" customFormat="false" ht="16.5" hidden="false" customHeight="true" outlineLevel="0" collapsed="false">
      <c r="A615" s="42" t="n">
        <v>45715</v>
      </c>
      <c r="B615" s="24" t="s">
        <v>713</v>
      </c>
      <c r="C615" s="43" t="s">
        <v>25</v>
      </c>
      <c r="D615" s="43" t="s">
        <v>81</v>
      </c>
      <c r="E615" s="24" t="n">
        <v>1</v>
      </c>
      <c r="F615" s="44" t="n">
        <v>3.5</v>
      </c>
      <c r="G615" s="24" t="n">
        <v>5</v>
      </c>
      <c r="H615" s="24" t="n">
        <v>12</v>
      </c>
      <c r="I615" s="44" t="n">
        <f aca="false">E615*F615*(1-G615/100)*(1+H615/100)</f>
        <v>3.724</v>
      </c>
      <c r="J615" s="24" t="s">
        <v>32</v>
      </c>
      <c r="K615" s="24" t="s">
        <v>85</v>
      </c>
      <c r="L615" s="43" t="s">
        <v>83</v>
      </c>
      <c r="M615" s="44" t="n">
        <f aca="false">F615*(1-G615/100)-2.2</f>
        <v>1.125</v>
      </c>
      <c r="N615" s="44" t="n">
        <f aca="false">M615*E615</f>
        <v>1.125</v>
      </c>
    </row>
    <row r="616" customFormat="false" ht="16.5" hidden="false" customHeight="true" outlineLevel="0" collapsed="false">
      <c r="A616" s="45" t="n">
        <v>45716</v>
      </c>
      <c r="B616" s="28" t="s">
        <v>714</v>
      </c>
      <c r="C616" s="46" t="s">
        <v>93</v>
      </c>
      <c r="D616" s="46" t="s">
        <v>81</v>
      </c>
      <c r="E616" s="28" t="n">
        <v>4</v>
      </c>
      <c r="F616" s="47" t="n">
        <v>3</v>
      </c>
      <c r="G616" s="28" t="n">
        <v>0</v>
      </c>
      <c r="H616" s="28" t="n">
        <v>12</v>
      </c>
      <c r="I616" s="47" t="n">
        <f aca="false">E616*F616*(1-G616/100)*(1+H616/100)</f>
        <v>13.44</v>
      </c>
      <c r="J616" s="28" t="s">
        <v>34</v>
      </c>
      <c r="K616" s="28" t="s">
        <v>85</v>
      </c>
      <c r="L616" s="46" t="s">
        <v>98</v>
      </c>
      <c r="M616" s="47" t="n">
        <f aca="false">F616*(1-G616/100)-1.5</f>
        <v>1.5</v>
      </c>
      <c r="N616" s="47" t="n">
        <f aca="false">M616*E616</f>
        <v>6</v>
      </c>
    </row>
    <row r="617" customFormat="false" ht="16.5" hidden="false" customHeight="true" outlineLevel="0" collapsed="false">
      <c r="A617" s="42" t="n">
        <v>45716</v>
      </c>
      <c r="B617" s="24" t="s">
        <v>715</v>
      </c>
      <c r="C617" s="43" t="s">
        <v>93</v>
      </c>
      <c r="D617" s="43" t="s">
        <v>81</v>
      </c>
      <c r="E617" s="24" t="n">
        <v>5</v>
      </c>
      <c r="F617" s="44" t="n">
        <v>3</v>
      </c>
      <c r="G617" s="24" t="n">
        <v>0</v>
      </c>
      <c r="H617" s="24" t="n">
        <v>12</v>
      </c>
      <c r="I617" s="44" t="n">
        <f aca="false">E617*F617*(1-G617/100)*(1+H617/100)</f>
        <v>16.8</v>
      </c>
      <c r="J617" s="24" t="s">
        <v>26</v>
      </c>
      <c r="K617" s="24" t="s">
        <v>85</v>
      </c>
      <c r="L617" s="43" t="s">
        <v>98</v>
      </c>
      <c r="M617" s="44" t="n">
        <f aca="false">F617*(1-G617/100)-1.5</f>
        <v>1.5</v>
      </c>
      <c r="N617" s="44" t="n">
        <f aca="false">M617*E617</f>
        <v>7.5</v>
      </c>
    </row>
    <row r="618" customFormat="false" ht="16.5" hidden="false" customHeight="true" outlineLevel="0" collapsed="false">
      <c r="A618" s="45" t="n">
        <v>45716</v>
      </c>
      <c r="B618" s="28" t="s">
        <v>716</v>
      </c>
      <c r="C618" s="46" t="s">
        <v>25</v>
      </c>
      <c r="D618" s="46" t="s">
        <v>81</v>
      </c>
      <c r="E618" s="28" t="n">
        <v>3</v>
      </c>
      <c r="F618" s="47" t="n">
        <v>3.5</v>
      </c>
      <c r="G618" s="28" t="n">
        <v>0</v>
      </c>
      <c r="H618" s="28" t="n">
        <v>12</v>
      </c>
      <c r="I618" s="47" t="n">
        <f aca="false">E618*F618*(1-G618/100)*(1+H618/100)</f>
        <v>11.76</v>
      </c>
      <c r="J618" s="28" t="s">
        <v>28</v>
      </c>
      <c r="K618" s="28" t="s">
        <v>97</v>
      </c>
      <c r="L618" s="46" t="s">
        <v>98</v>
      </c>
      <c r="M618" s="47" t="n">
        <f aca="false">F618*(1-G618/100)-2.2</f>
        <v>1.3</v>
      </c>
      <c r="N618" s="47" t="n">
        <f aca="false">M618*E618</f>
        <v>3.9</v>
      </c>
    </row>
    <row r="619" customFormat="false" ht="16.5" hidden="false" customHeight="true" outlineLevel="0" collapsed="false">
      <c r="A619" s="42" t="n">
        <v>45716</v>
      </c>
      <c r="B619" s="24" t="s">
        <v>717</v>
      </c>
      <c r="C619" s="43" t="s">
        <v>27</v>
      </c>
      <c r="D619" s="43" t="s">
        <v>81</v>
      </c>
      <c r="E619" s="24" t="n">
        <v>3</v>
      </c>
      <c r="F619" s="44" t="n">
        <v>4.5</v>
      </c>
      <c r="G619" s="24" t="n">
        <v>0</v>
      </c>
      <c r="H619" s="24" t="n">
        <v>12</v>
      </c>
      <c r="I619" s="44" t="n">
        <f aca="false">E619*F619*(1-G619/100)*(1+H619/100)</f>
        <v>15.12</v>
      </c>
      <c r="J619" s="24" t="s">
        <v>32</v>
      </c>
      <c r="K619" s="24" t="s">
        <v>82</v>
      </c>
      <c r="L619" s="43" t="s">
        <v>98</v>
      </c>
      <c r="M619" s="44" t="n">
        <f aca="false">F619*(1-G619/100)-2.8</f>
        <v>1.7</v>
      </c>
      <c r="N619" s="44" t="n">
        <f aca="false">M619*E619</f>
        <v>5.1</v>
      </c>
    </row>
    <row r="620" customFormat="false" ht="16.5" hidden="false" customHeight="true" outlineLevel="0" collapsed="false">
      <c r="A620" s="45" t="n">
        <v>45716</v>
      </c>
      <c r="B620" s="28" t="s">
        <v>718</v>
      </c>
      <c r="C620" s="46" t="s">
        <v>124</v>
      </c>
      <c r="D620" s="46" t="s">
        <v>96</v>
      </c>
      <c r="E620" s="28" t="n">
        <v>1</v>
      </c>
      <c r="F620" s="47" t="n">
        <v>4</v>
      </c>
      <c r="G620" s="28" t="n">
        <v>0</v>
      </c>
      <c r="H620" s="28" t="n">
        <v>12</v>
      </c>
      <c r="I620" s="47" t="n">
        <f aca="false">E620*F620*(1-G620/100)*(1+H620/100)</f>
        <v>4.48</v>
      </c>
      <c r="J620" s="28" t="s">
        <v>34</v>
      </c>
      <c r="K620" s="28" t="s">
        <v>88</v>
      </c>
      <c r="L620" s="46" t="s">
        <v>111</v>
      </c>
      <c r="M620" s="47" t="n">
        <f aca="false">F620*(1-G620/100)-1.8</f>
        <v>2.2</v>
      </c>
      <c r="N620" s="47" t="n">
        <f aca="false">M620*E620</f>
        <v>2.2</v>
      </c>
    </row>
    <row r="621" customFormat="false" ht="16.5" hidden="false" customHeight="true" outlineLevel="0" collapsed="false">
      <c r="A621" s="42" t="n">
        <v>45716</v>
      </c>
      <c r="B621" s="24" t="s">
        <v>719</v>
      </c>
      <c r="C621" s="43" t="s">
        <v>25</v>
      </c>
      <c r="D621" s="43" t="s">
        <v>81</v>
      </c>
      <c r="E621" s="24" t="n">
        <v>4</v>
      </c>
      <c r="F621" s="44" t="n">
        <v>3.5</v>
      </c>
      <c r="G621" s="24" t="n">
        <v>0</v>
      </c>
      <c r="H621" s="24" t="n">
        <v>12</v>
      </c>
      <c r="I621" s="44" t="n">
        <f aca="false">E621*F621*(1-G621/100)*(1+H621/100)</f>
        <v>15.68</v>
      </c>
      <c r="J621" s="24" t="s">
        <v>34</v>
      </c>
      <c r="K621" s="24" t="s">
        <v>85</v>
      </c>
      <c r="L621" s="43" t="s">
        <v>83</v>
      </c>
      <c r="M621" s="44" t="n">
        <f aca="false">F621*(1-G621/100)-2.2</f>
        <v>1.3</v>
      </c>
      <c r="N621" s="44" t="n">
        <f aca="false">M621*E621</f>
        <v>5.2</v>
      </c>
    </row>
    <row r="622" customFormat="false" ht="16.5" hidden="false" customHeight="true" outlineLevel="0" collapsed="false">
      <c r="A622" s="45" t="n">
        <v>45716</v>
      </c>
      <c r="B622" s="28" t="s">
        <v>720</v>
      </c>
      <c r="C622" s="46" t="s">
        <v>25</v>
      </c>
      <c r="D622" s="46" t="s">
        <v>81</v>
      </c>
      <c r="E622" s="28" t="n">
        <v>1</v>
      </c>
      <c r="F622" s="47" t="n">
        <v>3.5</v>
      </c>
      <c r="G622" s="28" t="n">
        <v>0</v>
      </c>
      <c r="H622" s="28" t="n">
        <v>12</v>
      </c>
      <c r="I622" s="47" t="n">
        <f aca="false">E622*F622*(1-G622/100)*(1+H622/100)</f>
        <v>3.92</v>
      </c>
      <c r="J622" s="28" t="s">
        <v>26</v>
      </c>
      <c r="K622" s="28" t="s">
        <v>82</v>
      </c>
      <c r="L622" s="46" t="s">
        <v>94</v>
      </c>
      <c r="M622" s="47" t="n">
        <f aca="false">F622*(1-G622/100)-2.2</f>
        <v>1.3</v>
      </c>
      <c r="N622" s="47" t="n">
        <f aca="false">M622*E622</f>
        <v>1.3</v>
      </c>
    </row>
    <row r="623" customFormat="false" ht="16.5" hidden="false" customHeight="true" outlineLevel="0" collapsed="false">
      <c r="A623" s="42" t="n">
        <v>45716</v>
      </c>
      <c r="B623" s="24" t="s">
        <v>721</v>
      </c>
      <c r="C623" s="43" t="s">
        <v>124</v>
      </c>
      <c r="D623" s="43" t="s">
        <v>96</v>
      </c>
      <c r="E623" s="24" t="n">
        <v>5</v>
      </c>
      <c r="F623" s="44" t="n">
        <v>4</v>
      </c>
      <c r="G623" s="24" t="n">
        <v>0</v>
      </c>
      <c r="H623" s="24" t="n">
        <v>12</v>
      </c>
      <c r="I623" s="44" t="n">
        <f aca="false">E623*F623*(1-G623/100)*(1+H623/100)</f>
        <v>22.4</v>
      </c>
      <c r="J623" s="24" t="s">
        <v>28</v>
      </c>
      <c r="K623" s="24" t="s">
        <v>97</v>
      </c>
      <c r="L623" s="43" t="s">
        <v>91</v>
      </c>
      <c r="M623" s="44" t="n">
        <f aca="false">F623*(1-G623/100)-1.8</f>
        <v>2.2</v>
      </c>
      <c r="N623" s="44" t="n">
        <f aca="false">M623*E623</f>
        <v>11</v>
      </c>
    </row>
    <row r="624" customFormat="false" ht="16.5" hidden="false" customHeight="true" outlineLevel="0" collapsed="false">
      <c r="A624" s="45" t="n">
        <v>45716</v>
      </c>
      <c r="B624" s="28" t="s">
        <v>722</v>
      </c>
      <c r="C624" s="46" t="s">
        <v>27</v>
      </c>
      <c r="D624" s="46" t="s">
        <v>81</v>
      </c>
      <c r="E624" s="28" t="n">
        <v>1</v>
      </c>
      <c r="F624" s="47" t="n">
        <v>4.5</v>
      </c>
      <c r="G624" s="28" t="n">
        <v>5</v>
      </c>
      <c r="H624" s="28" t="n">
        <v>12</v>
      </c>
      <c r="I624" s="47" t="n">
        <f aca="false">E624*F624*(1-G624/100)*(1+H624/100)</f>
        <v>4.788</v>
      </c>
      <c r="J624" s="28" t="s">
        <v>34</v>
      </c>
      <c r="K624" s="28" t="s">
        <v>88</v>
      </c>
      <c r="L624" s="46" t="s">
        <v>111</v>
      </c>
      <c r="M624" s="47" t="n">
        <f aca="false">F624*(1-G624/100)-2.8</f>
        <v>1.475</v>
      </c>
      <c r="N624" s="47" t="n">
        <f aca="false">M624*E624</f>
        <v>1.475</v>
      </c>
    </row>
    <row r="625" customFormat="false" ht="16.5" hidden="false" customHeight="true" outlineLevel="0" collapsed="false">
      <c r="A625" s="42" t="n">
        <v>45716</v>
      </c>
      <c r="B625" s="24" t="s">
        <v>723</v>
      </c>
      <c r="C625" s="43" t="s">
        <v>29</v>
      </c>
      <c r="D625" s="43" t="s">
        <v>104</v>
      </c>
      <c r="E625" s="24" t="n">
        <v>1</v>
      </c>
      <c r="F625" s="44" t="n">
        <v>2.5</v>
      </c>
      <c r="G625" s="24" t="n">
        <v>0</v>
      </c>
      <c r="H625" s="24" t="n">
        <v>12</v>
      </c>
      <c r="I625" s="44" t="n">
        <f aca="false">E625*F625*(1-G625/100)*(1+H625/100)</f>
        <v>2.8</v>
      </c>
      <c r="J625" s="24" t="s">
        <v>24</v>
      </c>
      <c r="K625" s="24" t="s">
        <v>85</v>
      </c>
      <c r="L625" s="43" t="s">
        <v>98</v>
      </c>
      <c r="M625" s="44" t="n">
        <f aca="false">F625*(1-G625/100)-1.1</f>
        <v>1.4</v>
      </c>
      <c r="N625" s="44" t="n">
        <f aca="false">M625*E625</f>
        <v>1.4</v>
      </c>
    </row>
    <row r="626" customFormat="false" ht="16.5" hidden="false" customHeight="true" outlineLevel="0" collapsed="false">
      <c r="A626" s="45" t="n">
        <v>45716</v>
      </c>
      <c r="B626" s="28" t="s">
        <v>724</v>
      </c>
      <c r="C626" s="46" t="s">
        <v>35</v>
      </c>
      <c r="D626" s="46" t="s">
        <v>81</v>
      </c>
      <c r="E626" s="28" t="n">
        <v>5</v>
      </c>
      <c r="F626" s="47" t="n">
        <v>1.5</v>
      </c>
      <c r="G626" s="28" t="n">
        <v>5</v>
      </c>
      <c r="H626" s="28" t="n">
        <v>12</v>
      </c>
      <c r="I626" s="47" t="n">
        <f aca="false">E626*F626*(1-G626/100)*(1+H626/100)</f>
        <v>7.98</v>
      </c>
      <c r="J626" s="28" t="s">
        <v>26</v>
      </c>
      <c r="K626" s="28" t="s">
        <v>101</v>
      </c>
      <c r="L626" s="46" t="s">
        <v>86</v>
      </c>
      <c r="M626" s="47" t="n">
        <f aca="false">F626*(1-G626/100)-0.6</f>
        <v>0.825</v>
      </c>
      <c r="N626" s="47" t="n">
        <f aca="false">M626*E626</f>
        <v>4.125</v>
      </c>
    </row>
    <row r="627" customFormat="false" ht="16.5" hidden="false" customHeight="true" outlineLevel="0" collapsed="false">
      <c r="A627" s="42" t="n">
        <v>45717</v>
      </c>
      <c r="B627" s="24" t="s">
        <v>725</v>
      </c>
      <c r="C627" s="43" t="s">
        <v>29</v>
      </c>
      <c r="D627" s="43" t="s">
        <v>104</v>
      </c>
      <c r="E627" s="24" t="n">
        <v>3</v>
      </c>
      <c r="F627" s="44" t="n">
        <v>2.5</v>
      </c>
      <c r="G627" s="24" t="n">
        <v>0</v>
      </c>
      <c r="H627" s="24" t="n">
        <v>12</v>
      </c>
      <c r="I627" s="44" t="n">
        <f aca="false">E627*F627*(1-G627/100)*(1+H627/100)</f>
        <v>8.4</v>
      </c>
      <c r="J627" s="24" t="s">
        <v>32</v>
      </c>
      <c r="K627" s="24" t="s">
        <v>101</v>
      </c>
      <c r="L627" s="43" t="s">
        <v>122</v>
      </c>
      <c r="M627" s="44" t="n">
        <f aca="false">F627*(1-G627/100)-1.1</f>
        <v>1.4</v>
      </c>
      <c r="N627" s="44" t="n">
        <f aca="false">M627*E627</f>
        <v>4.2</v>
      </c>
    </row>
    <row r="628" customFormat="false" ht="16.5" hidden="false" customHeight="true" outlineLevel="0" collapsed="false">
      <c r="A628" s="45" t="n">
        <v>45717</v>
      </c>
      <c r="B628" s="28" t="s">
        <v>726</v>
      </c>
      <c r="C628" s="46" t="s">
        <v>113</v>
      </c>
      <c r="D628" s="46" t="s">
        <v>96</v>
      </c>
      <c r="E628" s="28" t="n">
        <v>4</v>
      </c>
      <c r="F628" s="47" t="n">
        <v>6</v>
      </c>
      <c r="G628" s="28" t="n">
        <v>5</v>
      </c>
      <c r="H628" s="28" t="n">
        <v>12</v>
      </c>
      <c r="I628" s="47" t="n">
        <f aca="false">E628*F628*(1-G628/100)*(1+H628/100)</f>
        <v>25.536</v>
      </c>
      <c r="J628" s="28" t="s">
        <v>28</v>
      </c>
      <c r="K628" s="28" t="s">
        <v>101</v>
      </c>
      <c r="L628" s="46" t="s">
        <v>117</v>
      </c>
      <c r="M628" s="47" t="n">
        <f aca="false">F628*(1-G628/100)-2.8</f>
        <v>2.9</v>
      </c>
      <c r="N628" s="47" t="n">
        <f aca="false">M628*E628</f>
        <v>11.6</v>
      </c>
    </row>
    <row r="629" customFormat="false" ht="16.5" hidden="false" customHeight="true" outlineLevel="0" collapsed="false">
      <c r="A629" s="42" t="n">
        <v>45717</v>
      </c>
      <c r="B629" s="24" t="s">
        <v>727</v>
      </c>
      <c r="C629" s="43" t="s">
        <v>113</v>
      </c>
      <c r="D629" s="43" t="s">
        <v>96</v>
      </c>
      <c r="E629" s="24" t="n">
        <v>2</v>
      </c>
      <c r="F629" s="44" t="n">
        <v>6</v>
      </c>
      <c r="G629" s="24" t="n">
        <v>0</v>
      </c>
      <c r="H629" s="24" t="n">
        <v>12</v>
      </c>
      <c r="I629" s="44" t="n">
        <f aca="false">E629*F629*(1-G629/100)*(1+H629/100)</f>
        <v>13.44</v>
      </c>
      <c r="J629" s="24" t="s">
        <v>32</v>
      </c>
      <c r="K629" s="24" t="s">
        <v>97</v>
      </c>
      <c r="L629" s="43" t="s">
        <v>83</v>
      </c>
      <c r="M629" s="44" t="n">
        <f aca="false">F629*(1-G629/100)-2.8</f>
        <v>3.2</v>
      </c>
      <c r="N629" s="44" t="n">
        <f aca="false">M629*E629</f>
        <v>6.4</v>
      </c>
    </row>
    <row r="630" customFormat="false" ht="16.5" hidden="false" customHeight="true" outlineLevel="0" collapsed="false">
      <c r="A630" s="45" t="n">
        <v>45717</v>
      </c>
      <c r="B630" s="28" t="s">
        <v>728</v>
      </c>
      <c r="C630" s="46" t="s">
        <v>93</v>
      </c>
      <c r="D630" s="46" t="s">
        <v>81</v>
      </c>
      <c r="E630" s="28" t="n">
        <v>1</v>
      </c>
      <c r="F630" s="47" t="n">
        <v>3</v>
      </c>
      <c r="G630" s="28" t="n">
        <v>0</v>
      </c>
      <c r="H630" s="28" t="n">
        <v>12</v>
      </c>
      <c r="I630" s="47" t="n">
        <f aca="false">E630*F630*(1-G630/100)*(1+H630/100)</f>
        <v>3.36</v>
      </c>
      <c r="J630" s="28" t="s">
        <v>32</v>
      </c>
      <c r="K630" s="28" t="s">
        <v>85</v>
      </c>
      <c r="L630" s="46" t="s">
        <v>122</v>
      </c>
      <c r="M630" s="47" t="n">
        <f aca="false">F630*(1-G630/100)-1.5</f>
        <v>1.5</v>
      </c>
      <c r="N630" s="47" t="n">
        <f aca="false">M630*E630</f>
        <v>1.5</v>
      </c>
    </row>
    <row r="631" customFormat="false" ht="16.5" hidden="false" customHeight="true" outlineLevel="0" collapsed="false">
      <c r="A631" s="42" t="n">
        <v>45717</v>
      </c>
      <c r="B631" s="24" t="s">
        <v>729</v>
      </c>
      <c r="C631" s="43" t="s">
        <v>33</v>
      </c>
      <c r="D631" s="43" t="s">
        <v>104</v>
      </c>
      <c r="E631" s="24" t="n">
        <v>3</v>
      </c>
      <c r="F631" s="44" t="n">
        <v>5</v>
      </c>
      <c r="G631" s="24" t="n">
        <v>10</v>
      </c>
      <c r="H631" s="24" t="n">
        <v>12</v>
      </c>
      <c r="I631" s="44" t="n">
        <f aca="false">E631*F631*(1-G631/100)*(1+H631/100)</f>
        <v>15.12</v>
      </c>
      <c r="J631" s="24" t="s">
        <v>24</v>
      </c>
      <c r="K631" s="24" t="s">
        <v>82</v>
      </c>
      <c r="L631" s="43" t="s">
        <v>98</v>
      </c>
      <c r="M631" s="44" t="n">
        <f aca="false">F631*(1-G631/100)-2.5</f>
        <v>2</v>
      </c>
      <c r="N631" s="44" t="n">
        <f aca="false">M631*E631</f>
        <v>6</v>
      </c>
    </row>
    <row r="632" customFormat="false" ht="16.5" hidden="false" customHeight="true" outlineLevel="0" collapsed="false">
      <c r="A632" s="45" t="n">
        <v>45717</v>
      </c>
      <c r="B632" s="28" t="s">
        <v>730</v>
      </c>
      <c r="C632" s="46" t="s">
        <v>27</v>
      </c>
      <c r="D632" s="46" t="s">
        <v>81</v>
      </c>
      <c r="E632" s="28" t="n">
        <v>3</v>
      </c>
      <c r="F632" s="47" t="n">
        <v>4.5</v>
      </c>
      <c r="G632" s="28" t="n">
        <v>10</v>
      </c>
      <c r="H632" s="28" t="n">
        <v>12</v>
      </c>
      <c r="I632" s="47" t="n">
        <f aca="false">E632*F632*(1-G632/100)*(1+H632/100)</f>
        <v>13.608</v>
      </c>
      <c r="J632" s="28" t="s">
        <v>32</v>
      </c>
      <c r="K632" s="28" t="s">
        <v>88</v>
      </c>
      <c r="L632" s="46" t="s">
        <v>91</v>
      </c>
      <c r="M632" s="47" t="n">
        <f aca="false">F632*(1-G632/100)-2.8</f>
        <v>1.25</v>
      </c>
      <c r="N632" s="47" t="n">
        <f aca="false">M632*E632</f>
        <v>3.75</v>
      </c>
    </row>
    <row r="633" customFormat="false" ht="16.5" hidden="false" customHeight="true" outlineLevel="0" collapsed="false">
      <c r="A633" s="42" t="n">
        <v>45717</v>
      </c>
      <c r="B633" s="24" t="s">
        <v>731</v>
      </c>
      <c r="C633" s="43" t="s">
        <v>124</v>
      </c>
      <c r="D633" s="43" t="s">
        <v>96</v>
      </c>
      <c r="E633" s="24" t="n">
        <v>1</v>
      </c>
      <c r="F633" s="44" t="n">
        <v>4</v>
      </c>
      <c r="G633" s="24" t="n">
        <v>5</v>
      </c>
      <c r="H633" s="24" t="n">
        <v>12</v>
      </c>
      <c r="I633" s="44" t="n">
        <f aca="false">E633*F633*(1-G633/100)*(1+H633/100)</f>
        <v>4.256</v>
      </c>
      <c r="J633" s="24" t="s">
        <v>34</v>
      </c>
      <c r="K633" s="24" t="s">
        <v>85</v>
      </c>
      <c r="L633" s="43" t="s">
        <v>117</v>
      </c>
      <c r="M633" s="44" t="n">
        <f aca="false">F633*(1-G633/100)-1.8</f>
        <v>2</v>
      </c>
      <c r="N633" s="44" t="n">
        <f aca="false">M633*E633</f>
        <v>2</v>
      </c>
    </row>
    <row r="634" customFormat="false" ht="16.5" hidden="false" customHeight="true" outlineLevel="0" collapsed="false">
      <c r="A634" s="45" t="n">
        <v>45717</v>
      </c>
      <c r="B634" s="28" t="s">
        <v>732</v>
      </c>
      <c r="C634" s="46" t="s">
        <v>93</v>
      </c>
      <c r="D634" s="46" t="s">
        <v>81</v>
      </c>
      <c r="E634" s="28" t="n">
        <v>5</v>
      </c>
      <c r="F634" s="47" t="n">
        <v>3</v>
      </c>
      <c r="G634" s="28" t="n">
        <v>0</v>
      </c>
      <c r="H634" s="28" t="n">
        <v>12</v>
      </c>
      <c r="I634" s="47" t="n">
        <f aca="false">E634*F634*(1-G634/100)*(1+H634/100)</f>
        <v>16.8</v>
      </c>
      <c r="J634" s="28" t="s">
        <v>32</v>
      </c>
      <c r="K634" s="28" t="s">
        <v>97</v>
      </c>
      <c r="L634" s="46" t="s">
        <v>98</v>
      </c>
      <c r="M634" s="47" t="n">
        <f aca="false">F634*(1-G634/100)-1.5</f>
        <v>1.5</v>
      </c>
      <c r="N634" s="47" t="n">
        <f aca="false">M634*E634</f>
        <v>7.5</v>
      </c>
    </row>
    <row r="635" customFormat="false" ht="16.5" hidden="false" customHeight="true" outlineLevel="0" collapsed="false">
      <c r="A635" s="42" t="n">
        <v>45718</v>
      </c>
      <c r="B635" s="24" t="s">
        <v>733</v>
      </c>
      <c r="C635" s="43" t="s">
        <v>25</v>
      </c>
      <c r="D635" s="43" t="s">
        <v>81</v>
      </c>
      <c r="E635" s="24" t="n">
        <v>5</v>
      </c>
      <c r="F635" s="44" t="n">
        <v>3.5</v>
      </c>
      <c r="G635" s="24" t="n">
        <v>10</v>
      </c>
      <c r="H635" s="24" t="n">
        <v>12</v>
      </c>
      <c r="I635" s="44" t="n">
        <f aca="false">E635*F635*(1-G635/100)*(1+H635/100)</f>
        <v>17.64</v>
      </c>
      <c r="J635" s="24" t="s">
        <v>34</v>
      </c>
      <c r="K635" s="24" t="s">
        <v>88</v>
      </c>
      <c r="L635" s="43" t="s">
        <v>89</v>
      </c>
      <c r="M635" s="44" t="n">
        <f aca="false">F635*(1-G635/100)-2.2</f>
        <v>0.95</v>
      </c>
      <c r="N635" s="44" t="n">
        <f aca="false">M635*E635</f>
        <v>4.75</v>
      </c>
    </row>
    <row r="636" customFormat="false" ht="16.5" hidden="false" customHeight="true" outlineLevel="0" collapsed="false">
      <c r="A636" s="45" t="n">
        <v>45718</v>
      </c>
      <c r="B636" s="28" t="s">
        <v>734</v>
      </c>
      <c r="C636" s="46" t="s">
        <v>29</v>
      </c>
      <c r="D636" s="46" t="s">
        <v>104</v>
      </c>
      <c r="E636" s="28" t="n">
        <v>1</v>
      </c>
      <c r="F636" s="47" t="n">
        <v>2.5</v>
      </c>
      <c r="G636" s="28" t="n">
        <v>5</v>
      </c>
      <c r="H636" s="28" t="n">
        <v>12</v>
      </c>
      <c r="I636" s="47" t="n">
        <f aca="false">E636*F636*(1-G636/100)*(1+H636/100)</f>
        <v>2.66</v>
      </c>
      <c r="J636" s="28" t="s">
        <v>26</v>
      </c>
      <c r="K636" s="28" t="s">
        <v>82</v>
      </c>
      <c r="L636" s="46" t="s">
        <v>91</v>
      </c>
      <c r="M636" s="47" t="n">
        <f aca="false">F636*(1-G636/100)-1.1</f>
        <v>1.275</v>
      </c>
      <c r="N636" s="47" t="n">
        <f aca="false">M636*E636</f>
        <v>1.275</v>
      </c>
    </row>
    <row r="637" customFormat="false" ht="16.5" hidden="false" customHeight="true" outlineLevel="0" collapsed="false">
      <c r="A637" s="42" t="n">
        <v>45718</v>
      </c>
      <c r="B637" s="24" t="s">
        <v>735</v>
      </c>
      <c r="C637" s="43" t="s">
        <v>33</v>
      </c>
      <c r="D637" s="43" t="s">
        <v>104</v>
      </c>
      <c r="E637" s="24" t="n">
        <v>2</v>
      </c>
      <c r="F637" s="44" t="n">
        <v>5</v>
      </c>
      <c r="G637" s="24" t="n">
        <v>0</v>
      </c>
      <c r="H637" s="24" t="n">
        <v>12</v>
      </c>
      <c r="I637" s="44" t="n">
        <f aca="false">E637*F637*(1-G637/100)*(1+H637/100)</f>
        <v>11.2</v>
      </c>
      <c r="J637" s="24" t="s">
        <v>32</v>
      </c>
      <c r="K637" s="24" t="s">
        <v>101</v>
      </c>
      <c r="L637" s="43" t="s">
        <v>94</v>
      </c>
      <c r="M637" s="44" t="n">
        <f aca="false">F637*(1-G637/100)-2.5</f>
        <v>2.5</v>
      </c>
      <c r="N637" s="44" t="n">
        <f aca="false">M637*E637</f>
        <v>5</v>
      </c>
    </row>
    <row r="638" customFormat="false" ht="16.5" hidden="false" customHeight="true" outlineLevel="0" collapsed="false">
      <c r="A638" s="45" t="n">
        <v>45718</v>
      </c>
      <c r="B638" s="28" t="s">
        <v>736</v>
      </c>
      <c r="C638" s="46" t="s">
        <v>33</v>
      </c>
      <c r="D638" s="46" t="s">
        <v>104</v>
      </c>
      <c r="E638" s="28" t="n">
        <v>2</v>
      </c>
      <c r="F638" s="47" t="n">
        <v>5</v>
      </c>
      <c r="G638" s="28" t="n">
        <v>10</v>
      </c>
      <c r="H638" s="28" t="n">
        <v>12</v>
      </c>
      <c r="I638" s="47" t="n">
        <f aca="false">E638*F638*(1-G638/100)*(1+H638/100)</f>
        <v>10.08</v>
      </c>
      <c r="J638" s="28" t="s">
        <v>28</v>
      </c>
      <c r="K638" s="28" t="s">
        <v>97</v>
      </c>
      <c r="L638" s="46" t="s">
        <v>98</v>
      </c>
      <c r="M638" s="47" t="n">
        <f aca="false">F638*(1-G638/100)-2.5</f>
        <v>2</v>
      </c>
      <c r="N638" s="47" t="n">
        <f aca="false">M638*E638</f>
        <v>4</v>
      </c>
    </row>
    <row r="639" customFormat="false" ht="16.5" hidden="false" customHeight="true" outlineLevel="0" collapsed="false">
      <c r="A639" s="42" t="n">
        <v>45718</v>
      </c>
      <c r="B639" s="24" t="s">
        <v>737</v>
      </c>
      <c r="C639" s="43" t="s">
        <v>27</v>
      </c>
      <c r="D639" s="43" t="s">
        <v>81</v>
      </c>
      <c r="E639" s="24" t="n">
        <v>4</v>
      </c>
      <c r="F639" s="44" t="n">
        <v>4.5</v>
      </c>
      <c r="G639" s="24" t="n">
        <v>10</v>
      </c>
      <c r="H639" s="24" t="n">
        <v>12</v>
      </c>
      <c r="I639" s="44" t="n">
        <f aca="false">E639*F639*(1-G639/100)*(1+H639/100)</f>
        <v>18.144</v>
      </c>
      <c r="J639" s="24" t="s">
        <v>32</v>
      </c>
      <c r="K639" s="24" t="s">
        <v>88</v>
      </c>
      <c r="L639" s="43" t="s">
        <v>106</v>
      </c>
      <c r="M639" s="44" t="n">
        <f aca="false">F639*(1-G639/100)-2.8</f>
        <v>1.25</v>
      </c>
      <c r="N639" s="44" t="n">
        <f aca="false">M639*E639</f>
        <v>5</v>
      </c>
    </row>
    <row r="640" customFormat="false" ht="16.5" hidden="false" customHeight="true" outlineLevel="0" collapsed="false">
      <c r="A640" s="45" t="n">
        <v>45718</v>
      </c>
      <c r="B640" s="28" t="s">
        <v>738</v>
      </c>
      <c r="C640" s="46" t="s">
        <v>35</v>
      </c>
      <c r="D640" s="46" t="s">
        <v>81</v>
      </c>
      <c r="E640" s="28" t="n">
        <v>5</v>
      </c>
      <c r="F640" s="47" t="n">
        <v>1.5</v>
      </c>
      <c r="G640" s="28" t="n">
        <v>5</v>
      </c>
      <c r="H640" s="28" t="n">
        <v>12</v>
      </c>
      <c r="I640" s="47" t="n">
        <f aca="false">E640*F640*(1-G640/100)*(1+H640/100)</f>
        <v>7.98</v>
      </c>
      <c r="J640" s="28" t="s">
        <v>24</v>
      </c>
      <c r="K640" s="28" t="s">
        <v>88</v>
      </c>
      <c r="L640" s="46" t="s">
        <v>89</v>
      </c>
      <c r="M640" s="47" t="n">
        <f aca="false">F640*(1-G640/100)-0.6</f>
        <v>0.825</v>
      </c>
      <c r="N640" s="47" t="n">
        <f aca="false">M640*E640</f>
        <v>4.125</v>
      </c>
    </row>
    <row r="641" customFormat="false" ht="16.5" hidden="false" customHeight="true" outlineLevel="0" collapsed="false">
      <c r="A641" s="42" t="n">
        <v>45718</v>
      </c>
      <c r="B641" s="24" t="s">
        <v>739</v>
      </c>
      <c r="C641" s="43" t="s">
        <v>124</v>
      </c>
      <c r="D641" s="43" t="s">
        <v>96</v>
      </c>
      <c r="E641" s="24" t="n">
        <v>4</v>
      </c>
      <c r="F641" s="44" t="n">
        <v>4</v>
      </c>
      <c r="G641" s="24" t="n">
        <v>0</v>
      </c>
      <c r="H641" s="24" t="n">
        <v>12</v>
      </c>
      <c r="I641" s="44" t="n">
        <f aca="false">E641*F641*(1-G641/100)*(1+H641/100)</f>
        <v>17.92</v>
      </c>
      <c r="J641" s="24" t="s">
        <v>32</v>
      </c>
      <c r="K641" s="24" t="s">
        <v>82</v>
      </c>
      <c r="L641" s="43" t="s">
        <v>83</v>
      </c>
      <c r="M641" s="44" t="n">
        <f aca="false">F641*(1-G641/100)-1.8</f>
        <v>2.2</v>
      </c>
      <c r="N641" s="44" t="n">
        <f aca="false">M641*E641</f>
        <v>8.8</v>
      </c>
    </row>
    <row r="642" customFormat="false" ht="16.5" hidden="false" customHeight="true" outlineLevel="0" collapsed="false">
      <c r="A642" s="45" t="n">
        <v>45718</v>
      </c>
      <c r="B642" s="28" t="s">
        <v>740</v>
      </c>
      <c r="C642" s="46" t="s">
        <v>109</v>
      </c>
      <c r="D642" s="46" t="s">
        <v>110</v>
      </c>
      <c r="E642" s="28" t="n">
        <v>5</v>
      </c>
      <c r="F642" s="47" t="n">
        <v>3.5</v>
      </c>
      <c r="G642" s="28" t="n">
        <v>10</v>
      </c>
      <c r="H642" s="28" t="n">
        <v>12</v>
      </c>
      <c r="I642" s="47" t="n">
        <f aca="false">E642*F642*(1-G642/100)*(1+H642/100)</f>
        <v>17.64</v>
      </c>
      <c r="J642" s="28" t="s">
        <v>24</v>
      </c>
      <c r="K642" s="28" t="s">
        <v>101</v>
      </c>
      <c r="L642" s="46" t="s">
        <v>89</v>
      </c>
      <c r="M642" s="47" t="n">
        <f aca="false">F642*(1-G642/100)-1.4</f>
        <v>1.75</v>
      </c>
      <c r="N642" s="47" t="n">
        <f aca="false">M642*E642</f>
        <v>8.75</v>
      </c>
    </row>
    <row r="643" customFormat="false" ht="16.5" hidden="false" customHeight="true" outlineLevel="0" collapsed="false">
      <c r="A643" s="42" t="n">
        <v>45718</v>
      </c>
      <c r="B643" s="24" t="s">
        <v>741</v>
      </c>
      <c r="C643" s="43" t="s">
        <v>27</v>
      </c>
      <c r="D643" s="43" t="s">
        <v>81</v>
      </c>
      <c r="E643" s="24" t="n">
        <v>3</v>
      </c>
      <c r="F643" s="44" t="n">
        <v>4.5</v>
      </c>
      <c r="G643" s="24" t="n">
        <v>10</v>
      </c>
      <c r="H643" s="24" t="n">
        <v>12</v>
      </c>
      <c r="I643" s="44" t="n">
        <f aca="false">E643*F643*(1-G643/100)*(1+H643/100)</f>
        <v>13.608</v>
      </c>
      <c r="J643" s="24" t="s">
        <v>28</v>
      </c>
      <c r="K643" s="24" t="s">
        <v>85</v>
      </c>
      <c r="L643" s="43" t="s">
        <v>122</v>
      </c>
      <c r="M643" s="44" t="n">
        <f aca="false">F643*(1-G643/100)-2.8</f>
        <v>1.25</v>
      </c>
      <c r="N643" s="44" t="n">
        <f aca="false">M643*E643</f>
        <v>3.75</v>
      </c>
    </row>
    <row r="644" customFormat="false" ht="16.5" hidden="false" customHeight="true" outlineLevel="0" collapsed="false">
      <c r="A644" s="45" t="n">
        <v>45718</v>
      </c>
      <c r="B644" s="28" t="s">
        <v>742</v>
      </c>
      <c r="C644" s="46" t="s">
        <v>113</v>
      </c>
      <c r="D644" s="46" t="s">
        <v>96</v>
      </c>
      <c r="E644" s="28" t="n">
        <v>4</v>
      </c>
      <c r="F644" s="47" t="n">
        <v>6</v>
      </c>
      <c r="G644" s="28" t="n">
        <v>10</v>
      </c>
      <c r="H644" s="28" t="n">
        <v>12</v>
      </c>
      <c r="I644" s="47" t="n">
        <f aca="false">E644*F644*(1-G644/100)*(1+H644/100)</f>
        <v>24.192</v>
      </c>
      <c r="J644" s="28" t="s">
        <v>34</v>
      </c>
      <c r="K644" s="28" t="s">
        <v>85</v>
      </c>
      <c r="L644" s="46" t="s">
        <v>86</v>
      </c>
      <c r="M644" s="47" t="n">
        <f aca="false">F644*(1-G644/100)-2.8</f>
        <v>2.6</v>
      </c>
      <c r="N644" s="47" t="n">
        <f aca="false">M644*E644</f>
        <v>10.4</v>
      </c>
    </row>
    <row r="645" customFormat="false" ht="16.5" hidden="false" customHeight="true" outlineLevel="0" collapsed="false">
      <c r="A645" s="42" t="n">
        <v>45718</v>
      </c>
      <c r="B645" s="24" t="s">
        <v>743</v>
      </c>
      <c r="C645" s="43" t="s">
        <v>29</v>
      </c>
      <c r="D645" s="43" t="s">
        <v>104</v>
      </c>
      <c r="E645" s="24" t="n">
        <v>3</v>
      </c>
      <c r="F645" s="44" t="n">
        <v>2.5</v>
      </c>
      <c r="G645" s="24" t="n">
        <v>5</v>
      </c>
      <c r="H645" s="24" t="n">
        <v>12</v>
      </c>
      <c r="I645" s="44" t="n">
        <f aca="false">E645*F645*(1-G645/100)*(1+H645/100)</f>
        <v>7.98</v>
      </c>
      <c r="J645" s="24" t="s">
        <v>26</v>
      </c>
      <c r="K645" s="24" t="s">
        <v>88</v>
      </c>
      <c r="L645" s="43" t="s">
        <v>89</v>
      </c>
      <c r="M645" s="44" t="n">
        <f aca="false">F645*(1-G645/100)-1.1</f>
        <v>1.275</v>
      </c>
      <c r="N645" s="44" t="n">
        <f aca="false">M645*E645</f>
        <v>3.825</v>
      </c>
    </row>
    <row r="646" customFormat="false" ht="16.5" hidden="false" customHeight="true" outlineLevel="0" collapsed="false">
      <c r="A646" s="45" t="n">
        <v>45719</v>
      </c>
      <c r="B646" s="28" t="s">
        <v>744</v>
      </c>
      <c r="C646" s="46" t="s">
        <v>113</v>
      </c>
      <c r="D646" s="46" t="s">
        <v>96</v>
      </c>
      <c r="E646" s="28" t="n">
        <v>1</v>
      </c>
      <c r="F646" s="47" t="n">
        <v>6</v>
      </c>
      <c r="G646" s="28" t="n">
        <v>5</v>
      </c>
      <c r="H646" s="28" t="n">
        <v>12</v>
      </c>
      <c r="I646" s="47" t="n">
        <f aca="false">E646*F646*(1-G646/100)*(1+H646/100)</f>
        <v>6.384</v>
      </c>
      <c r="J646" s="28" t="s">
        <v>28</v>
      </c>
      <c r="K646" s="28" t="s">
        <v>82</v>
      </c>
      <c r="L646" s="46" t="s">
        <v>86</v>
      </c>
      <c r="M646" s="47" t="n">
        <f aca="false">F646*(1-G646/100)-2.8</f>
        <v>2.9</v>
      </c>
      <c r="N646" s="47" t="n">
        <f aca="false">M646*E646</f>
        <v>2.9</v>
      </c>
    </row>
    <row r="647" customFormat="false" ht="16.5" hidden="false" customHeight="true" outlineLevel="0" collapsed="false">
      <c r="A647" s="42" t="n">
        <v>45719</v>
      </c>
      <c r="B647" s="24" t="s">
        <v>745</v>
      </c>
      <c r="C647" s="43" t="s">
        <v>93</v>
      </c>
      <c r="D647" s="43" t="s">
        <v>81</v>
      </c>
      <c r="E647" s="24" t="n">
        <v>3</v>
      </c>
      <c r="F647" s="44" t="n">
        <v>3</v>
      </c>
      <c r="G647" s="24" t="n">
        <v>0</v>
      </c>
      <c r="H647" s="24" t="n">
        <v>12</v>
      </c>
      <c r="I647" s="44" t="n">
        <f aca="false">E647*F647*(1-G647/100)*(1+H647/100)</f>
        <v>10.08</v>
      </c>
      <c r="J647" s="24" t="s">
        <v>24</v>
      </c>
      <c r="K647" s="24" t="s">
        <v>97</v>
      </c>
      <c r="L647" s="43" t="s">
        <v>122</v>
      </c>
      <c r="M647" s="44" t="n">
        <f aca="false">F647*(1-G647/100)-1.5</f>
        <v>1.5</v>
      </c>
      <c r="N647" s="44" t="n">
        <f aca="false">M647*E647</f>
        <v>4.5</v>
      </c>
    </row>
    <row r="648" customFormat="false" ht="16.5" hidden="false" customHeight="true" outlineLevel="0" collapsed="false">
      <c r="A648" s="45" t="n">
        <v>45719</v>
      </c>
      <c r="B648" s="28" t="s">
        <v>746</v>
      </c>
      <c r="C648" s="46" t="s">
        <v>35</v>
      </c>
      <c r="D648" s="46" t="s">
        <v>81</v>
      </c>
      <c r="E648" s="28" t="n">
        <v>3</v>
      </c>
      <c r="F648" s="47" t="n">
        <v>1.5</v>
      </c>
      <c r="G648" s="28" t="n">
        <v>5</v>
      </c>
      <c r="H648" s="28" t="n">
        <v>12</v>
      </c>
      <c r="I648" s="47" t="n">
        <f aca="false">E648*F648*(1-G648/100)*(1+H648/100)</f>
        <v>4.788</v>
      </c>
      <c r="J648" s="28" t="s">
        <v>24</v>
      </c>
      <c r="K648" s="28" t="s">
        <v>82</v>
      </c>
      <c r="L648" s="46" t="s">
        <v>83</v>
      </c>
      <c r="M648" s="47" t="n">
        <f aca="false">F648*(1-G648/100)-0.6</f>
        <v>0.825</v>
      </c>
      <c r="N648" s="47" t="n">
        <f aca="false">M648*E648</f>
        <v>2.475</v>
      </c>
    </row>
    <row r="649" customFormat="false" ht="16.5" hidden="false" customHeight="true" outlineLevel="0" collapsed="false">
      <c r="A649" s="42" t="n">
        <v>45719</v>
      </c>
      <c r="B649" s="24" t="s">
        <v>747</v>
      </c>
      <c r="C649" s="43" t="s">
        <v>35</v>
      </c>
      <c r="D649" s="43" t="s">
        <v>81</v>
      </c>
      <c r="E649" s="24" t="n">
        <v>4</v>
      </c>
      <c r="F649" s="44" t="n">
        <v>1.5</v>
      </c>
      <c r="G649" s="24" t="n">
        <v>0</v>
      </c>
      <c r="H649" s="24" t="n">
        <v>12</v>
      </c>
      <c r="I649" s="44" t="n">
        <f aca="false">E649*F649*(1-G649/100)*(1+H649/100)</f>
        <v>6.72</v>
      </c>
      <c r="J649" s="24" t="s">
        <v>28</v>
      </c>
      <c r="K649" s="24" t="s">
        <v>85</v>
      </c>
      <c r="L649" s="43" t="s">
        <v>89</v>
      </c>
      <c r="M649" s="44" t="n">
        <f aca="false">F649*(1-G649/100)-0.6</f>
        <v>0.9</v>
      </c>
      <c r="N649" s="44" t="n">
        <f aca="false">M649*E649</f>
        <v>3.6</v>
      </c>
    </row>
    <row r="650" customFormat="false" ht="16.5" hidden="false" customHeight="true" outlineLevel="0" collapsed="false">
      <c r="A650" s="45" t="n">
        <v>45719</v>
      </c>
      <c r="B650" s="28" t="s">
        <v>748</v>
      </c>
      <c r="C650" s="46" t="s">
        <v>27</v>
      </c>
      <c r="D650" s="46" t="s">
        <v>81</v>
      </c>
      <c r="E650" s="28" t="n">
        <v>2</v>
      </c>
      <c r="F650" s="47" t="n">
        <v>4.5</v>
      </c>
      <c r="G650" s="28" t="n">
        <v>5</v>
      </c>
      <c r="H650" s="28" t="n">
        <v>12</v>
      </c>
      <c r="I650" s="47" t="n">
        <f aca="false">E650*F650*(1-G650/100)*(1+H650/100)</f>
        <v>9.576</v>
      </c>
      <c r="J650" s="28" t="s">
        <v>26</v>
      </c>
      <c r="K650" s="28" t="s">
        <v>85</v>
      </c>
      <c r="L650" s="46" t="s">
        <v>111</v>
      </c>
      <c r="M650" s="47" t="n">
        <f aca="false">F650*(1-G650/100)-2.8</f>
        <v>1.475</v>
      </c>
      <c r="N650" s="47" t="n">
        <f aca="false">M650*E650</f>
        <v>2.95</v>
      </c>
    </row>
    <row r="651" customFormat="false" ht="16.5" hidden="false" customHeight="true" outlineLevel="0" collapsed="false">
      <c r="A651" s="42" t="n">
        <v>45719</v>
      </c>
      <c r="B651" s="24" t="s">
        <v>749</v>
      </c>
      <c r="C651" s="43" t="s">
        <v>124</v>
      </c>
      <c r="D651" s="43" t="s">
        <v>96</v>
      </c>
      <c r="E651" s="24" t="n">
        <v>3</v>
      </c>
      <c r="F651" s="44" t="n">
        <v>4</v>
      </c>
      <c r="G651" s="24" t="n">
        <v>0</v>
      </c>
      <c r="H651" s="24" t="n">
        <v>12</v>
      </c>
      <c r="I651" s="44" t="n">
        <f aca="false">E651*F651*(1-G651/100)*(1+H651/100)</f>
        <v>13.44</v>
      </c>
      <c r="J651" s="24" t="s">
        <v>34</v>
      </c>
      <c r="K651" s="24" t="s">
        <v>82</v>
      </c>
      <c r="L651" s="43" t="s">
        <v>98</v>
      </c>
      <c r="M651" s="44" t="n">
        <f aca="false">F651*(1-G651/100)-1.8</f>
        <v>2.2</v>
      </c>
      <c r="N651" s="44" t="n">
        <f aca="false">M651*E651</f>
        <v>6.6</v>
      </c>
    </row>
    <row r="652" customFormat="false" ht="16.5" hidden="false" customHeight="true" outlineLevel="0" collapsed="false">
      <c r="A652" s="45" t="n">
        <v>45719</v>
      </c>
      <c r="B652" s="28" t="s">
        <v>750</v>
      </c>
      <c r="C652" s="46" t="s">
        <v>35</v>
      </c>
      <c r="D652" s="46" t="s">
        <v>81</v>
      </c>
      <c r="E652" s="28" t="n">
        <v>5</v>
      </c>
      <c r="F652" s="47" t="n">
        <v>1.5</v>
      </c>
      <c r="G652" s="28" t="n">
        <v>5</v>
      </c>
      <c r="H652" s="28" t="n">
        <v>12</v>
      </c>
      <c r="I652" s="47" t="n">
        <f aca="false">E652*F652*(1-G652/100)*(1+H652/100)</f>
        <v>7.98</v>
      </c>
      <c r="J652" s="28" t="s">
        <v>26</v>
      </c>
      <c r="K652" s="28" t="s">
        <v>88</v>
      </c>
      <c r="L652" s="46" t="s">
        <v>89</v>
      </c>
      <c r="M652" s="47" t="n">
        <f aca="false">F652*(1-G652/100)-0.6</f>
        <v>0.825</v>
      </c>
      <c r="N652" s="47" t="n">
        <f aca="false">M652*E652</f>
        <v>4.125</v>
      </c>
    </row>
    <row r="653" customFormat="false" ht="16.5" hidden="false" customHeight="true" outlineLevel="0" collapsed="false">
      <c r="A653" s="42" t="n">
        <v>45719</v>
      </c>
      <c r="B653" s="24" t="s">
        <v>751</v>
      </c>
      <c r="C653" s="43" t="s">
        <v>25</v>
      </c>
      <c r="D653" s="43" t="s">
        <v>81</v>
      </c>
      <c r="E653" s="24" t="n">
        <v>2</v>
      </c>
      <c r="F653" s="44" t="n">
        <v>3.5</v>
      </c>
      <c r="G653" s="24" t="n">
        <v>0</v>
      </c>
      <c r="H653" s="24" t="n">
        <v>12</v>
      </c>
      <c r="I653" s="44" t="n">
        <f aca="false">E653*F653*(1-G653/100)*(1+H653/100)</f>
        <v>7.84</v>
      </c>
      <c r="J653" s="24" t="s">
        <v>26</v>
      </c>
      <c r="K653" s="24" t="s">
        <v>101</v>
      </c>
      <c r="L653" s="43" t="s">
        <v>91</v>
      </c>
      <c r="M653" s="44" t="n">
        <f aca="false">F653*(1-G653/100)-2.2</f>
        <v>1.3</v>
      </c>
      <c r="N653" s="44" t="n">
        <f aca="false">M653*E653</f>
        <v>2.6</v>
      </c>
    </row>
    <row r="654" customFormat="false" ht="16.5" hidden="false" customHeight="true" outlineLevel="0" collapsed="false">
      <c r="A654" s="45" t="n">
        <v>45719</v>
      </c>
      <c r="B654" s="28" t="s">
        <v>752</v>
      </c>
      <c r="C654" s="46" t="s">
        <v>25</v>
      </c>
      <c r="D654" s="46" t="s">
        <v>81</v>
      </c>
      <c r="E654" s="28" t="n">
        <v>4</v>
      </c>
      <c r="F654" s="47" t="n">
        <v>3.5</v>
      </c>
      <c r="G654" s="28" t="n">
        <v>0</v>
      </c>
      <c r="H654" s="28" t="n">
        <v>12</v>
      </c>
      <c r="I654" s="47" t="n">
        <f aca="false">E654*F654*(1-G654/100)*(1+H654/100)</f>
        <v>15.68</v>
      </c>
      <c r="J654" s="28" t="s">
        <v>28</v>
      </c>
      <c r="K654" s="28" t="s">
        <v>82</v>
      </c>
      <c r="L654" s="46" t="s">
        <v>122</v>
      </c>
      <c r="M654" s="47" t="n">
        <f aca="false">F654*(1-G654/100)-2.2</f>
        <v>1.3</v>
      </c>
      <c r="N654" s="47" t="n">
        <f aca="false">M654*E654</f>
        <v>5.2</v>
      </c>
    </row>
    <row r="655" customFormat="false" ht="16.5" hidden="false" customHeight="true" outlineLevel="0" collapsed="false">
      <c r="A655" s="42" t="n">
        <v>45719</v>
      </c>
      <c r="B655" s="24" t="s">
        <v>753</v>
      </c>
      <c r="C655" s="43" t="s">
        <v>36</v>
      </c>
      <c r="D655" s="43" t="s">
        <v>96</v>
      </c>
      <c r="E655" s="24" t="n">
        <v>4</v>
      </c>
      <c r="F655" s="44" t="n">
        <v>8.5</v>
      </c>
      <c r="G655" s="24" t="n">
        <v>10</v>
      </c>
      <c r="H655" s="24" t="n">
        <v>12</v>
      </c>
      <c r="I655" s="44" t="n">
        <f aca="false">E655*F655*(1-G655/100)*(1+H655/100)</f>
        <v>34.272</v>
      </c>
      <c r="J655" s="24" t="s">
        <v>32</v>
      </c>
      <c r="K655" s="24" t="s">
        <v>101</v>
      </c>
      <c r="L655" s="43" t="s">
        <v>86</v>
      </c>
      <c r="M655" s="44" t="n">
        <f aca="false">F655*(1-G655/100)-4.2</f>
        <v>3.45</v>
      </c>
      <c r="N655" s="44" t="n">
        <f aca="false">M655*E655</f>
        <v>13.8</v>
      </c>
    </row>
    <row r="656" customFormat="false" ht="16.5" hidden="false" customHeight="true" outlineLevel="0" collapsed="false">
      <c r="A656" s="45" t="n">
        <v>45719</v>
      </c>
      <c r="B656" s="28" t="s">
        <v>754</v>
      </c>
      <c r="C656" s="46" t="s">
        <v>33</v>
      </c>
      <c r="D656" s="46" t="s">
        <v>104</v>
      </c>
      <c r="E656" s="28" t="n">
        <v>3</v>
      </c>
      <c r="F656" s="47" t="n">
        <v>5</v>
      </c>
      <c r="G656" s="28" t="n">
        <v>5</v>
      </c>
      <c r="H656" s="28" t="n">
        <v>12</v>
      </c>
      <c r="I656" s="47" t="n">
        <f aca="false">E656*F656*(1-G656/100)*(1+H656/100)</f>
        <v>15.96</v>
      </c>
      <c r="J656" s="28" t="s">
        <v>34</v>
      </c>
      <c r="K656" s="28" t="s">
        <v>85</v>
      </c>
      <c r="L656" s="46" t="s">
        <v>83</v>
      </c>
      <c r="M656" s="47" t="n">
        <f aca="false">F656*(1-G656/100)-2.5</f>
        <v>2.25</v>
      </c>
      <c r="N656" s="47" t="n">
        <f aca="false">M656*E656</f>
        <v>6.75</v>
      </c>
    </row>
    <row r="657" customFormat="false" ht="16.5" hidden="false" customHeight="true" outlineLevel="0" collapsed="false">
      <c r="A657" s="42" t="n">
        <v>45719</v>
      </c>
      <c r="B657" s="24" t="s">
        <v>755</v>
      </c>
      <c r="C657" s="43" t="s">
        <v>93</v>
      </c>
      <c r="D657" s="43" t="s">
        <v>81</v>
      </c>
      <c r="E657" s="24" t="n">
        <v>5</v>
      </c>
      <c r="F657" s="44" t="n">
        <v>3</v>
      </c>
      <c r="G657" s="24" t="n">
        <v>10</v>
      </c>
      <c r="H657" s="24" t="n">
        <v>12</v>
      </c>
      <c r="I657" s="44" t="n">
        <f aca="false">E657*F657*(1-G657/100)*(1+H657/100)</f>
        <v>15.12</v>
      </c>
      <c r="J657" s="24" t="s">
        <v>28</v>
      </c>
      <c r="K657" s="24" t="s">
        <v>97</v>
      </c>
      <c r="L657" s="43" t="s">
        <v>83</v>
      </c>
      <c r="M657" s="44" t="n">
        <f aca="false">F657*(1-G657/100)-1.5</f>
        <v>1.2</v>
      </c>
      <c r="N657" s="44" t="n">
        <f aca="false">M657*E657</f>
        <v>6</v>
      </c>
    </row>
    <row r="658" customFormat="false" ht="16.5" hidden="false" customHeight="true" outlineLevel="0" collapsed="false">
      <c r="A658" s="45" t="n">
        <v>45719</v>
      </c>
      <c r="B658" s="28" t="s">
        <v>756</v>
      </c>
      <c r="C658" s="46" t="s">
        <v>35</v>
      </c>
      <c r="D658" s="46" t="s">
        <v>81</v>
      </c>
      <c r="E658" s="28" t="n">
        <v>1</v>
      </c>
      <c r="F658" s="47" t="n">
        <v>1.5</v>
      </c>
      <c r="G658" s="28" t="n">
        <v>0</v>
      </c>
      <c r="H658" s="28" t="n">
        <v>12</v>
      </c>
      <c r="I658" s="47" t="n">
        <f aca="false">E658*F658*(1-G658/100)*(1+H658/100)</f>
        <v>1.68</v>
      </c>
      <c r="J658" s="28" t="s">
        <v>24</v>
      </c>
      <c r="K658" s="28" t="s">
        <v>85</v>
      </c>
      <c r="L658" s="46" t="s">
        <v>86</v>
      </c>
      <c r="M658" s="47" t="n">
        <f aca="false">F658*(1-G658/100)-0.6</f>
        <v>0.9</v>
      </c>
      <c r="N658" s="47" t="n">
        <f aca="false">M658*E658</f>
        <v>0.9</v>
      </c>
    </row>
    <row r="659" customFormat="false" ht="16.5" hidden="false" customHeight="true" outlineLevel="0" collapsed="false">
      <c r="A659" s="42" t="n">
        <v>45719</v>
      </c>
      <c r="B659" s="24" t="s">
        <v>757</v>
      </c>
      <c r="C659" s="43" t="s">
        <v>29</v>
      </c>
      <c r="D659" s="43" t="s">
        <v>104</v>
      </c>
      <c r="E659" s="24" t="n">
        <v>5</v>
      </c>
      <c r="F659" s="44" t="n">
        <v>2.5</v>
      </c>
      <c r="G659" s="24" t="n">
        <v>0</v>
      </c>
      <c r="H659" s="24" t="n">
        <v>12</v>
      </c>
      <c r="I659" s="44" t="n">
        <f aca="false">E659*F659*(1-G659/100)*(1+H659/100)</f>
        <v>14</v>
      </c>
      <c r="J659" s="24" t="s">
        <v>26</v>
      </c>
      <c r="K659" s="24" t="s">
        <v>82</v>
      </c>
      <c r="L659" s="43" t="s">
        <v>91</v>
      </c>
      <c r="M659" s="44" t="n">
        <f aca="false">F659*(1-G659/100)-1.1</f>
        <v>1.4</v>
      </c>
      <c r="N659" s="44" t="n">
        <f aca="false">M659*E659</f>
        <v>7</v>
      </c>
    </row>
    <row r="660" customFormat="false" ht="16.5" hidden="false" customHeight="true" outlineLevel="0" collapsed="false">
      <c r="A660" s="45" t="n">
        <v>45719</v>
      </c>
      <c r="B660" s="28" t="s">
        <v>758</v>
      </c>
      <c r="C660" s="46" t="s">
        <v>35</v>
      </c>
      <c r="D660" s="46" t="s">
        <v>81</v>
      </c>
      <c r="E660" s="28" t="n">
        <v>4</v>
      </c>
      <c r="F660" s="47" t="n">
        <v>1.5</v>
      </c>
      <c r="G660" s="28" t="n">
        <v>10</v>
      </c>
      <c r="H660" s="28" t="n">
        <v>12</v>
      </c>
      <c r="I660" s="47" t="n">
        <f aca="false">E660*F660*(1-G660/100)*(1+H660/100)</f>
        <v>6.048</v>
      </c>
      <c r="J660" s="28" t="s">
        <v>24</v>
      </c>
      <c r="K660" s="28" t="s">
        <v>101</v>
      </c>
      <c r="L660" s="46" t="s">
        <v>111</v>
      </c>
      <c r="M660" s="47" t="n">
        <f aca="false">F660*(1-G660/100)-0.6</f>
        <v>0.75</v>
      </c>
      <c r="N660" s="47" t="n">
        <f aca="false">M660*E660</f>
        <v>3</v>
      </c>
    </row>
    <row r="661" customFormat="false" ht="16.5" hidden="false" customHeight="true" outlineLevel="0" collapsed="false">
      <c r="A661" s="42" t="n">
        <v>45720</v>
      </c>
      <c r="B661" s="24" t="s">
        <v>759</v>
      </c>
      <c r="C661" s="43" t="s">
        <v>29</v>
      </c>
      <c r="D661" s="43" t="s">
        <v>104</v>
      </c>
      <c r="E661" s="24" t="n">
        <v>5</v>
      </c>
      <c r="F661" s="44" t="n">
        <v>2.5</v>
      </c>
      <c r="G661" s="24" t="n">
        <v>0</v>
      </c>
      <c r="H661" s="24" t="n">
        <v>12</v>
      </c>
      <c r="I661" s="44" t="n">
        <f aca="false">E661*F661*(1-G661/100)*(1+H661/100)</f>
        <v>14</v>
      </c>
      <c r="J661" s="24" t="s">
        <v>26</v>
      </c>
      <c r="K661" s="24" t="s">
        <v>97</v>
      </c>
      <c r="L661" s="43" t="s">
        <v>89</v>
      </c>
      <c r="M661" s="44" t="n">
        <f aca="false">F661*(1-G661/100)-1.1</f>
        <v>1.4</v>
      </c>
      <c r="N661" s="44" t="n">
        <f aca="false">M661*E661</f>
        <v>7</v>
      </c>
    </row>
    <row r="662" customFormat="false" ht="16.5" hidden="false" customHeight="true" outlineLevel="0" collapsed="false">
      <c r="A662" s="45" t="n">
        <v>45720</v>
      </c>
      <c r="B662" s="28" t="s">
        <v>760</v>
      </c>
      <c r="C662" s="46" t="s">
        <v>35</v>
      </c>
      <c r="D662" s="46" t="s">
        <v>81</v>
      </c>
      <c r="E662" s="28" t="n">
        <v>3</v>
      </c>
      <c r="F662" s="47" t="n">
        <v>1.5</v>
      </c>
      <c r="G662" s="28" t="n">
        <v>5</v>
      </c>
      <c r="H662" s="28" t="n">
        <v>12</v>
      </c>
      <c r="I662" s="47" t="n">
        <f aca="false">E662*F662*(1-G662/100)*(1+H662/100)</f>
        <v>4.788</v>
      </c>
      <c r="J662" s="28" t="s">
        <v>32</v>
      </c>
      <c r="K662" s="28" t="s">
        <v>97</v>
      </c>
      <c r="L662" s="46" t="s">
        <v>111</v>
      </c>
      <c r="M662" s="47" t="n">
        <f aca="false">F662*(1-G662/100)-0.6</f>
        <v>0.825</v>
      </c>
      <c r="N662" s="47" t="n">
        <f aca="false">M662*E662</f>
        <v>2.475</v>
      </c>
    </row>
    <row r="663" customFormat="false" ht="16.5" hidden="false" customHeight="true" outlineLevel="0" collapsed="false">
      <c r="A663" s="42" t="n">
        <v>45720</v>
      </c>
      <c r="B663" s="24" t="s">
        <v>761</v>
      </c>
      <c r="C663" s="43" t="s">
        <v>35</v>
      </c>
      <c r="D663" s="43" t="s">
        <v>81</v>
      </c>
      <c r="E663" s="24" t="n">
        <v>2</v>
      </c>
      <c r="F663" s="44" t="n">
        <v>1.5</v>
      </c>
      <c r="G663" s="24" t="n">
        <v>5</v>
      </c>
      <c r="H663" s="24" t="n">
        <v>12</v>
      </c>
      <c r="I663" s="44" t="n">
        <f aca="false">E663*F663*(1-G663/100)*(1+H663/100)</f>
        <v>3.192</v>
      </c>
      <c r="J663" s="24" t="s">
        <v>28</v>
      </c>
      <c r="K663" s="24" t="s">
        <v>88</v>
      </c>
      <c r="L663" s="43" t="s">
        <v>89</v>
      </c>
      <c r="M663" s="44" t="n">
        <f aca="false">F663*(1-G663/100)-0.6</f>
        <v>0.825</v>
      </c>
      <c r="N663" s="44" t="n">
        <f aca="false">M663*E663</f>
        <v>1.65</v>
      </c>
    </row>
    <row r="664" customFormat="false" ht="16.5" hidden="false" customHeight="true" outlineLevel="0" collapsed="false">
      <c r="A664" s="45" t="n">
        <v>45720</v>
      </c>
      <c r="B664" s="28" t="s">
        <v>762</v>
      </c>
      <c r="C664" s="46" t="s">
        <v>113</v>
      </c>
      <c r="D664" s="46" t="s">
        <v>96</v>
      </c>
      <c r="E664" s="28" t="n">
        <v>5</v>
      </c>
      <c r="F664" s="47" t="n">
        <v>6</v>
      </c>
      <c r="G664" s="28" t="n">
        <v>0</v>
      </c>
      <c r="H664" s="28" t="n">
        <v>12</v>
      </c>
      <c r="I664" s="47" t="n">
        <f aca="false">E664*F664*(1-G664/100)*(1+H664/100)</f>
        <v>33.6</v>
      </c>
      <c r="J664" s="28" t="s">
        <v>24</v>
      </c>
      <c r="K664" s="28" t="s">
        <v>88</v>
      </c>
      <c r="L664" s="46" t="s">
        <v>106</v>
      </c>
      <c r="M664" s="47" t="n">
        <f aca="false">F664*(1-G664/100)-2.8</f>
        <v>3.2</v>
      </c>
      <c r="N664" s="47" t="n">
        <f aca="false">M664*E664</f>
        <v>16</v>
      </c>
    </row>
    <row r="665" customFormat="false" ht="16.5" hidden="false" customHeight="true" outlineLevel="0" collapsed="false">
      <c r="A665" s="42" t="n">
        <v>45720</v>
      </c>
      <c r="B665" s="24" t="s">
        <v>763</v>
      </c>
      <c r="C665" s="43" t="s">
        <v>124</v>
      </c>
      <c r="D665" s="43" t="s">
        <v>96</v>
      </c>
      <c r="E665" s="24" t="n">
        <v>5</v>
      </c>
      <c r="F665" s="44" t="n">
        <v>4</v>
      </c>
      <c r="G665" s="24" t="n">
        <v>10</v>
      </c>
      <c r="H665" s="24" t="n">
        <v>12</v>
      </c>
      <c r="I665" s="44" t="n">
        <f aca="false">E665*F665*(1-G665/100)*(1+H665/100)</f>
        <v>20.16</v>
      </c>
      <c r="J665" s="24" t="s">
        <v>28</v>
      </c>
      <c r="K665" s="24" t="s">
        <v>97</v>
      </c>
      <c r="L665" s="43" t="s">
        <v>98</v>
      </c>
      <c r="M665" s="44" t="n">
        <f aca="false">F665*(1-G665/100)-1.8</f>
        <v>1.8</v>
      </c>
      <c r="N665" s="44" t="n">
        <f aca="false">M665*E665</f>
        <v>9</v>
      </c>
    </row>
    <row r="666" customFormat="false" ht="16.5" hidden="false" customHeight="true" outlineLevel="0" collapsed="false">
      <c r="A666" s="45" t="n">
        <v>45720</v>
      </c>
      <c r="B666" s="28" t="s">
        <v>764</v>
      </c>
      <c r="C666" s="46" t="s">
        <v>93</v>
      </c>
      <c r="D666" s="46" t="s">
        <v>81</v>
      </c>
      <c r="E666" s="28" t="n">
        <v>1</v>
      </c>
      <c r="F666" s="47" t="n">
        <v>3</v>
      </c>
      <c r="G666" s="28" t="n">
        <v>0</v>
      </c>
      <c r="H666" s="28" t="n">
        <v>12</v>
      </c>
      <c r="I666" s="47" t="n">
        <f aca="false">E666*F666*(1-G666/100)*(1+H666/100)</f>
        <v>3.36</v>
      </c>
      <c r="J666" s="28" t="s">
        <v>28</v>
      </c>
      <c r="K666" s="28" t="s">
        <v>97</v>
      </c>
      <c r="L666" s="46" t="s">
        <v>122</v>
      </c>
      <c r="M666" s="47" t="n">
        <f aca="false">F666*(1-G666/100)-1.5</f>
        <v>1.5</v>
      </c>
      <c r="N666" s="47" t="n">
        <f aca="false">M666*E666</f>
        <v>1.5</v>
      </c>
    </row>
    <row r="667" customFormat="false" ht="16.5" hidden="false" customHeight="true" outlineLevel="0" collapsed="false">
      <c r="A667" s="42" t="n">
        <v>45720</v>
      </c>
      <c r="B667" s="24" t="s">
        <v>765</v>
      </c>
      <c r="C667" s="43" t="s">
        <v>35</v>
      </c>
      <c r="D667" s="43" t="s">
        <v>81</v>
      </c>
      <c r="E667" s="24" t="n">
        <v>3</v>
      </c>
      <c r="F667" s="44" t="n">
        <v>1.5</v>
      </c>
      <c r="G667" s="24" t="n">
        <v>0</v>
      </c>
      <c r="H667" s="24" t="n">
        <v>12</v>
      </c>
      <c r="I667" s="44" t="n">
        <f aca="false">E667*F667*(1-G667/100)*(1+H667/100)</f>
        <v>5.04</v>
      </c>
      <c r="J667" s="24" t="s">
        <v>26</v>
      </c>
      <c r="K667" s="24" t="s">
        <v>88</v>
      </c>
      <c r="L667" s="43" t="s">
        <v>91</v>
      </c>
      <c r="M667" s="44" t="n">
        <f aca="false">F667*(1-G667/100)-0.6</f>
        <v>0.9</v>
      </c>
      <c r="N667" s="44" t="n">
        <f aca="false">M667*E667</f>
        <v>2.7</v>
      </c>
    </row>
    <row r="668" customFormat="false" ht="16.5" hidden="false" customHeight="true" outlineLevel="0" collapsed="false">
      <c r="A668" s="45" t="n">
        <v>45721</v>
      </c>
      <c r="B668" s="28" t="s">
        <v>766</v>
      </c>
      <c r="C668" s="46" t="s">
        <v>109</v>
      </c>
      <c r="D668" s="46" t="s">
        <v>110</v>
      </c>
      <c r="E668" s="28" t="n">
        <v>4</v>
      </c>
      <c r="F668" s="47" t="n">
        <v>3.5</v>
      </c>
      <c r="G668" s="28" t="n">
        <v>0</v>
      </c>
      <c r="H668" s="28" t="n">
        <v>12</v>
      </c>
      <c r="I668" s="47" t="n">
        <f aca="false">E668*F668*(1-G668/100)*(1+H668/100)</f>
        <v>15.68</v>
      </c>
      <c r="J668" s="28" t="s">
        <v>26</v>
      </c>
      <c r="K668" s="28" t="s">
        <v>101</v>
      </c>
      <c r="L668" s="46" t="s">
        <v>111</v>
      </c>
      <c r="M668" s="47" t="n">
        <f aca="false">F668*(1-G668/100)-1.4</f>
        <v>2.1</v>
      </c>
      <c r="N668" s="47" t="n">
        <f aca="false">M668*E668</f>
        <v>8.4</v>
      </c>
    </row>
    <row r="669" customFormat="false" ht="16.5" hidden="false" customHeight="true" outlineLevel="0" collapsed="false">
      <c r="A669" s="42" t="n">
        <v>45721</v>
      </c>
      <c r="B669" s="24" t="s">
        <v>767</v>
      </c>
      <c r="C669" s="43" t="s">
        <v>35</v>
      </c>
      <c r="D669" s="43" t="s">
        <v>81</v>
      </c>
      <c r="E669" s="24" t="n">
        <v>3</v>
      </c>
      <c r="F669" s="44" t="n">
        <v>1.5</v>
      </c>
      <c r="G669" s="24" t="n">
        <v>5</v>
      </c>
      <c r="H669" s="24" t="n">
        <v>12</v>
      </c>
      <c r="I669" s="44" t="n">
        <f aca="false">E669*F669*(1-G669/100)*(1+H669/100)</f>
        <v>4.788</v>
      </c>
      <c r="J669" s="24" t="s">
        <v>32</v>
      </c>
      <c r="K669" s="24" t="s">
        <v>85</v>
      </c>
      <c r="L669" s="43" t="s">
        <v>86</v>
      </c>
      <c r="M669" s="44" t="n">
        <f aca="false">F669*(1-G669/100)-0.6</f>
        <v>0.825</v>
      </c>
      <c r="N669" s="44" t="n">
        <f aca="false">M669*E669</f>
        <v>2.475</v>
      </c>
    </row>
    <row r="670" customFormat="false" ht="16.5" hidden="false" customHeight="true" outlineLevel="0" collapsed="false">
      <c r="A670" s="45" t="n">
        <v>45721</v>
      </c>
      <c r="B670" s="28" t="s">
        <v>768</v>
      </c>
      <c r="C670" s="46" t="s">
        <v>109</v>
      </c>
      <c r="D670" s="46" t="s">
        <v>110</v>
      </c>
      <c r="E670" s="28" t="n">
        <v>5</v>
      </c>
      <c r="F670" s="47" t="n">
        <v>3.5</v>
      </c>
      <c r="G670" s="28" t="n">
        <v>0</v>
      </c>
      <c r="H670" s="28" t="n">
        <v>12</v>
      </c>
      <c r="I670" s="47" t="n">
        <f aca="false">E670*F670*(1-G670/100)*(1+H670/100)</f>
        <v>19.6</v>
      </c>
      <c r="J670" s="28" t="s">
        <v>28</v>
      </c>
      <c r="K670" s="28" t="s">
        <v>82</v>
      </c>
      <c r="L670" s="46" t="s">
        <v>117</v>
      </c>
      <c r="M670" s="47" t="n">
        <f aca="false">F670*(1-G670/100)-1.4</f>
        <v>2.1</v>
      </c>
      <c r="N670" s="47" t="n">
        <f aca="false">M670*E670</f>
        <v>10.5</v>
      </c>
    </row>
    <row r="671" customFormat="false" ht="16.5" hidden="false" customHeight="true" outlineLevel="0" collapsed="false">
      <c r="A671" s="42" t="n">
        <v>45721</v>
      </c>
      <c r="B671" s="24" t="s">
        <v>769</v>
      </c>
      <c r="C671" s="43" t="s">
        <v>93</v>
      </c>
      <c r="D671" s="43" t="s">
        <v>81</v>
      </c>
      <c r="E671" s="24" t="n">
        <v>3</v>
      </c>
      <c r="F671" s="44" t="n">
        <v>3</v>
      </c>
      <c r="G671" s="24" t="n">
        <v>10</v>
      </c>
      <c r="H671" s="24" t="n">
        <v>12</v>
      </c>
      <c r="I671" s="44" t="n">
        <f aca="false">E671*F671*(1-G671/100)*(1+H671/100)</f>
        <v>9.072</v>
      </c>
      <c r="J671" s="24" t="s">
        <v>28</v>
      </c>
      <c r="K671" s="24" t="s">
        <v>82</v>
      </c>
      <c r="L671" s="43" t="s">
        <v>117</v>
      </c>
      <c r="M671" s="44" t="n">
        <f aca="false">F671*(1-G671/100)-1.5</f>
        <v>1.2</v>
      </c>
      <c r="N671" s="44" t="n">
        <f aca="false">M671*E671</f>
        <v>3.6</v>
      </c>
    </row>
    <row r="672" customFormat="false" ht="16.5" hidden="false" customHeight="true" outlineLevel="0" collapsed="false">
      <c r="A672" s="45" t="n">
        <v>45721</v>
      </c>
      <c r="B672" s="28" t="s">
        <v>770</v>
      </c>
      <c r="C672" s="46" t="s">
        <v>29</v>
      </c>
      <c r="D672" s="46" t="s">
        <v>104</v>
      </c>
      <c r="E672" s="28" t="n">
        <v>3</v>
      </c>
      <c r="F672" s="47" t="n">
        <v>2.5</v>
      </c>
      <c r="G672" s="28" t="n">
        <v>0</v>
      </c>
      <c r="H672" s="28" t="n">
        <v>12</v>
      </c>
      <c r="I672" s="47" t="n">
        <f aca="false">E672*F672*(1-G672/100)*(1+H672/100)</f>
        <v>8.4</v>
      </c>
      <c r="J672" s="28" t="s">
        <v>32</v>
      </c>
      <c r="K672" s="28" t="s">
        <v>82</v>
      </c>
      <c r="L672" s="46" t="s">
        <v>122</v>
      </c>
      <c r="M672" s="47" t="n">
        <f aca="false">F672*(1-G672/100)-1.1</f>
        <v>1.4</v>
      </c>
      <c r="N672" s="47" t="n">
        <f aca="false">M672*E672</f>
        <v>4.2</v>
      </c>
    </row>
    <row r="673" customFormat="false" ht="16.5" hidden="false" customHeight="true" outlineLevel="0" collapsed="false">
      <c r="A673" s="42" t="n">
        <v>45722</v>
      </c>
      <c r="B673" s="24" t="s">
        <v>771</v>
      </c>
      <c r="C673" s="43" t="s">
        <v>29</v>
      </c>
      <c r="D673" s="43" t="s">
        <v>104</v>
      </c>
      <c r="E673" s="24" t="n">
        <v>3</v>
      </c>
      <c r="F673" s="44" t="n">
        <v>2.5</v>
      </c>
      <c r="G673" s="24" t="n">
        <v>0</v>
      </c>
      <c r="H673" s="24" t="n">
        <v>12</v>
      </c>
      <c r="I673" s="44" t="n">
        <f aca="false">E673*F673*(1-G673/100)*(1+H673/100)</f>
        <v>8.4</v>
      </c>
      <c r="J673" s="24" t="s">
        <v>26</v>
      </c>
      <c r="K673" s="24" t="s">
        <v>97</v>
      </c>
      <c r="L673" s="43" t="s">
        <v>91</v>
      </c>
      <c r="M673" s="44" t="n">
        <f aca="false">F673*(1-G673/100)-1.1</f>
        <v>1.4</v>
      </c>
      <c r="N673" s="44" t="n">
        <f aca="false">M673*E673</f>
        <v>4.2</v>
      </c>
    </row>
    <row r="674" customFormat="false" ht="16.5" hidden="false" customHeight="true" outlineLevel="0" collapsed="false">
      <c r="A674" s="45" t="n">
        <v>45722</v>
      </c>
      <c r="B674" s="28" t="s">
        <v>772</v>
      </c>
      <c r="C674" s="46" t="s">
        <v>35</v>
      </c>
      <c r="D674" s="46" t="s">
        <v>81</v>
      </c>
      <c r="E674" s="28" t="n">
        <v>4</v>
      </c>
      <c r="F674" s="47" t="n">
        <v>1.5</v>
      </c>
      <c r="G674" s="28" t="n">
        <v>0</v>
      </c>
      <c r="H674" s="28" t="n">
        <v>12</v>
      </c>
      <c r="I674" s="47" t="n">
        <f aca="false">E674*F674*(1-G674/100)*(1+H674/100)</f>
        <v>6.72</v>
      </c>
      <c r="J674" s="28" t="s">
        <v>28</v>
      </c>
      <c r="K674" s="28" t="s">
        <v>97</v>
      </c>
      <c r="L674" s="46" t="s">
        <v>89</v>
      </c>
      <c r="M674" s="47" t="n">
        <f aca="false">F674*(1-G674/100)-0.6</f>
        <v>0.9</v>
      </c>
      <c r="N674" s="47" t="n">
        <f aca="false">M674*E674</f>
        <v>3.6</v>
      </c>
    </row>
    <row r="675" customFormat="false" ht="16.5" hidden="false" customHeight="true" outlineLevel="0" collapsed="false">
      <c r="A675" s="42" t="n">
        <v>45722</v>
      </c>
      <c r="B675" s="24" t="s">
        <v>773</v>
      </c>
      <c r="C675" s="43" t="s">
        <v>35</v>
      </c>
      <c r="D675" s="43" t="s">
        <v>81</v>
      </c>
      <c r="E675" s="24" t="n">
        <v>4</v>
      </c>
      <c r="F675" s="44" t="n">
        <v>1.5</v>
      </c>
      <c r="G675" s="24" t="n">
        <v>0</v>
      </c>
      <c r="H675" s="24" t="n">
        <v>12</v>
      </c>
      <c r="I675" s="44" t="n">
        <f aca="false">E675*F675*(1-G675/100)*(1+H675/100)</f>
        <v>6.72</v>
      </c>
      <c r="J675" s="24" t="s">
        <v>32</v>
      </c>
      <c r="K675" s="24" t="s">
        <v>101</v>
      </c>
      <c r="L675" s="43" t="s">
        <v>89</v>
      </c>
      <c r="M675" s="44" t="n">
        <f aca="false">F675*(1-G675/100)-0.6</f>
        <v>0.9</v>
      </c>
      <c r="N675" s="44" t="n">
        <f aca="false">M675*E675</f>
        <v>3.6</v>
      </c>
    </row>
    <row r="676" customFormat="false" ht="16.5" hidden="false" customHeight="true" outlineLevel="0" collapsed="false">
      <c r="A676" s="45" t="n">
        <v>45722</v>
      </c>
      <c r="B676" s="28" t="s">
        <v>774</v>
      </c>
      <c r="C676" s="46" t="s">
        <v>109</v>
      </c>
      <c r="D676" s="46" t="s">
        <v>110</v>
      </c>
      <c r="E676" s="28" t="n">
        <v>5</v>
      </c>
      <c r="F676" s="47" t="n">
        <v>3.5</v>
      </c>
      <c r="G676" s="28" t="n">
        <v>0</v>
      </c>
      <c r="H676" s="28" t="n">
        <v>12</v>
      </c>
      <c r="I676" s="47" t="n">
        <f aca="false">E676*F676*(1-G676/100)*(1+H676/100)</f>
        <v>19.6</v>
      </c>
      <c r="J676" s="28" t="s">
        <v>32</v>
      </c>
      <c r="K676" s="28" t="s">
        <v>82</v>
      </c>
      <c r="L676" s="46" t="s">
        <v>117</v>
      </c>
      <c r="M676" s="47" t="n">
        <f aca="false">F676*(1-G676/100)-1.4</f>
        <v>2.1</v>
      </c>
      <c r="N676" s="47" t="n">
        <f aca="false">M676*E676</f>
        <v>10.5</v>
      </c>
    </row>
    <row r="677" customFormat="false" ht="16.5" hidden="false" customHeight="true" outlineLevel="0" collapsed="false">
      <c r="A677" s="42" t="n">
        <v>45722</v>
      </c>
      <c r="B677" s="24" t="s">
        <v>775</v>
      </c>
      <c r="C677" s="43" t="s">
        <v>27</v>
      </c>
      <c r="D677" s="43" t="s">
        <v>81</v>
      </c>
      <c r="E677" s="24" t="n">
        <v>4</v>
      </c>
      <c r="F677" s="44" t="n">
        <v>4.5</v>
      </c>
      <c r="G677" s="24" t="n">
        <v>10</v>
      </c>
      <c r="H677" s="24" t="n">
        <v>12</v>
      </c>
      <c r="I677" s="44" t="n">
        <f aca="false">E677*F677*(1-G677/100)*(1+H677/100)</f>
        <v>18.144</v>
      </c>
      <c r="J677" s="24" t="s">
        <v>28</v>
      </c>
      <c r="K677" s="24" t="s">
        <v>85</v>
      </c>
      <c r="L677" s="43" t="s">
        <v>86</v>
      </c>
      <c r="M677" s="44" t="n">
        <f aca="false">F677*(1-G677/100)-2.8</f>
        <v>1.25</v>
      </c>
      <c r="N677" s="44" t="n">
        <f aca="false">M677*E677</f>
        <v>5</v>
      </c>
    </row>
    <row r="678" customFormat="false" ht="16.5" hidden="false" customHeight="true" outlineLevel="0" collapsed="false">
      <c r="A678" s="45" t="n">
        <v>45722</v>
      </c>
      <c r="B678" s="28" t="s">
        <v>776</v>
      </c>
      <c r="C678" s="46" t="s">
        <v>29</v>
      </c>
      <c r="D678" s="46" t="s">
        <v>104</v>
      </c>
      <c r="E678" s="28" t="n">
        <v>2</v>
      </c>
      <c r="F678" s="47" t="n">
        <v>2.5</v>
      </c>
      <c r="G678" s="28" t="n">
        <v>0</v>
      </c>
      <c r="H678" s="28" t="n">
        <v>12</v>
      </c>
      <c r="I678" s="47" t="n">
        <f aca="false">E678*F678*(1-G678/100)*(1+H678/100)</f>
        <v>5.6</v>
      </c>
      <c r="J678" s="28" t="s">
        <v>28</v>
      </c>
      <c r="K678" s="28" t="s">
        <v>85</v>
      </c>
      <c r="L678" s="46" t="s">
        <v>89</v>
      </c>
      <c r="M678" s="47" t="n">
        <f aca="false">F678*(1-G678/100)-1.1</f>
        <v>1.4</v>
      </c>
      <c r="N678" s="47" t="n">
        <f aca="false">M678*E678</f>
        <v>2.8</v>
      </c>
    </row>
    <row r="679" customFormat="false" ht="16.5" hidden="false" customHeight="true" outlineLevel="0" collapsed="false">
      <c r="A679" s="42" t="n">
        <v>45722</v>
      </c>
      <c r="B679" s="24" t="s">
        <v>777</v>
      </c>
      <c r="C679" s="43" t="s">
        <v>93</v>
      </c>
      <c r="D679" s="43" t="s">
        <v>81</v>
      </c>
      <c r="E679" s="24" t="n">
        <v>2</v>
      </c>
      <c r="F679" s="44" t="n">
        <v>3</v>
      </c>
      <c r="G679" s="24" t="n">
        <v>0</v>
      </c>
      <c r="H679" s="24" t="n">
        <v>12</v>
      </c>
      <c r="I679" s="44" t="n">
        <f aca="false">E679*F679*(1-G679/100)*(1+H679/100)</f>
        <v>6.72</v>
      </c>
      <c r="J679" s="24" t="s">
        <v>26</v>
      </c>
      <c r="K679" s="24" t="s">
        <v>101</v>
      </c>
      <c r="L679" s="43" t="s">
        <v>111</v>
      </c>
      <c r="M679" s="44" t="n">
        <f aca="false">F679*(1-G679/100)-1.5</f>
        <v>1.5</v>
      </c>
      <c r="N679" s="44" t="n">
        <f aca="false">M679*E679</f>
        <v>3</v>
      </c>
    </row>
    <row r="680" customFormat="false" ht="16.5" hidden="false" customHeight="true" outlineLevel="0" collapsed="false">
      <c r="A680" s="45" t="n">
        <v>45722</v>
      </c>
      <c r="B680" s="28" t="s">
        <v>778</v>
      </c>
      <c r="C680" s="46" t="s">
        <v>36</v>
      </c>
      <c r="D680" s="46" t="s">
        <v>96</v>
      </c>
      <c r="E680" s="28" t="n">
        <v>2</v>
      </c>
      <c r="F680" s="47" t="n">
        <v>8.5</v>
      </c>
      <c r="G680" s="28" t="n">
        <v>0</v>
      </c>
      <c r="H680" s="28" t="n">
        <v>12</v>
      </c>
      <c r="I680" s="47" t="n">
        <f aca="false">E680*F680*(1-G680/100)*(1+H680/100)</f>
        <v>19.04</v>
      </c>
      <c r="J680" s="28" t="s">
        <v>24</v>
      </c>
      <c r="K680" s="28" t="s">
        <v>101</v>
      </c>
      <c r="L680" s="46" t="s">
        <v>111</v>
      </c>
      <c r="M680" s="47" t="n">
        <f aca="false">F680*(1-G680/100)-4.2</f>
        <v>4.3</v>
      </c>
      <c r="N680" s="47" t="n">
        <f aca="false">M680*E680</f>
        <v>8.6</v>
      </c>
    </row>
    <row r="681" customFormat="false" ht="16.5" hidden="false" customHeight="true" outlineLevel="0" collapsed="false">
      <c r="A681" s="42" t="n">
        <v>45722</v>
      </c>
      <c r="B681" s="24" t="s">
        <v>779</v>
      </c>
      <c r="C681" s="43" t="s">
        <v>35</v>
      </c>
      <c r="D681" s="43" t="s">
        <v>81</v>
      </c>
      <c r="E681" s="24" t="n">
        <v>2</v>
      </c>
      <c r="F681" s="44" t="n">
        <v>1.5</v>
      </c>
      <c r="G681" s="24" t="n">
        <v>0</v>
      </c>
      <c r="H681" s="24" t="n">
        <v>12</v>
      </c>
      <c r="I681" s="44" t="n">
        <f aca="false">E681*F681*(1-G681/100)*(1+H681/100)</f>
        <v>3.36</v>
      </c>
      <c r="J681" s="24" t="s">
        <v>34</v>
      </c>
      <c r="K681" s="24" t="s">
        <v>82</v>
      </c>
      <c r="L681" s="43" t="s">
        <v>111</v>
      </c>
      <c r="M681" s="44" t="n">
        <f aca="false">F681*(1-G681/100)-0.6</f>
        <v>0.9</v>
      </c>
      <c r="N681" s="44" t="n">
        <f aca="false">M681*E681</f>
        <v>1.8</v>
      </c>
    </row>
    <row r="682" customFormat="false" ht="16.5" hidden="false" customHeight="true" outlineLevel="0" collapsed="false">
      <c r="A682" s="45" t="n">
        <v>45722</v>
      </c>
      <c r="B682" s="28" t="s">
        <v>780</v>
      </c>
      <c r="C682" s="46" t="s">
        <v>27</v>
      </c>
      <c r="D682" s="46" t="s">
        <v>81</v>
      </c>
      <c r="E682" s="28" t="n">
        <v>2</v>
      </c>
      <c r="F682" s="47" t="n">
        <v>4.5</v>
      </c>
      <c r="G682" s="28" t="n">
        <v>10</v>
      </c>
      <c r="H682" s="28" t="n">
        <v>12</v>
      </c>
      <c r="I682" s="47" t="n">
        <f aca="false">E682*F682*(1-G682/100)*(1+H682/100)</f>
        <v>9.072</v>
      </c>
      <c r="J682" s="28" t="s">
        <v>32</v>
      </c>
      <c r="K682" s="28" t="s">
        <v>85</v>
      </c>
      <c r="L682" s="46" t="s">
        <v>94</v>
      </c>
      <c r="M682" s="47" t="n">
        <f aca="false">F682*(1-G682/100)-2.8</f>
        <v>1.25</v>
      </c>
      <c r="N682" s="47" t="n">
        <f aca="false">M682*E682</f>
        <v>2.5</v>
      </c>
    </row>
    <row r="683" customFormat="false" ht="16.5" hidden="false" customHeight="true" outlineLevel="0" collapsed="false">
      <c r="A683" s="42" t="n">
        <v>45722</v>
      </c>
      <c r="B683" s="24" t="s">
        <v>781</v>
      </c>
      <c r="C683" s="43" t="s">
        <v>113</v>
      </c>
      <c r="D683" s="43" t="s">
        <v>96</v>
      </c>
      <c r="E683" s="24" t="n">
        <v>4</v>
      </c>
      <c r="F683" s="44" t="n">
        <v>6</v>
      </c>
      <c r="G683" s="24" t="n">
        <v>5</v>
      </c>
      <c r="H683" s="24" t="n">
        <v>12</v>
      </c>
      <c r="I683" s="44" t="n">
        <f aca="false">E683*F683*(1-G683/100)*(1+H683/100)</f>
        <v>25.536</v>
      </c>
      <c r="J683" s="24" t="s">
        <v>24</v>
      </c>
      <c r="K683" s="24" t="s">
        <v>101</v>
      </c>
      <c r="L683" s="43" t="s">
        <v>117</v>
      </c>
      <c r="M683" s="44" t="n">
        <f aca="false">F683*(1-G683/100)-2.8</f>
        <v>2.9</v>
      </c>
      <c r="N683" s="44" t="n">
        <f aca="false">M683*E683</f>
        <v>11.6</v>
      </c>
    </row>
    <row r="684" customFormat="false" ht="16.5" hidden="false" customHeight="true" outlineLevel="0" collapsed="false">
      <c r="A684" s="45" t="n">
        <v>45722</v>
      </c>
      <c r="B684" s="28" t="s">
        <v>782</v>
      </c>
      <c r="C684" s="46" t="s">
        <v>33</v>
      </c>
      <c r="D684" s="46" t="s">
        <v>104</v>
      </c>
      <c r="E684" s="28" t="n">
        <v>3</v>
      </c>
      <c r="F684" s="47" t="n">
        <v>5</v>
      </c>
      <c r="G684" s="28" t="n">
        <v>0</v>
      </c>
      <c r="H684" s="28" t="n">
        <v>12</v>
      </c>
      <c r="I684" s="47" t="n">
        <f aca="false">E684*F684*(1-G684/100)*(1+H684/100)</f>
        <v>16.8</v>
      </c>
      <c r="J684" s="28" t="s">
        <v>28</v>
      </c>
      <c r="K684" s="28" t="s">
        <v>88</v>
      </c>
      <c r="L684" s="46" t="s">
        <v>91</v>
      </c>
      <c r="M684" s="47" t="n">
        <f aca="false">F684*(1-G684/100)-2.5</f>
        <v>2.5</v>
      </c>
      <c r="N684" s="47" t="n">
        <f aca="false">M684*E684</f>
        <v>7.5</v>
      </c>
    </row>
    <row r="685" customFormat="false" ht="16.5" hidden="false" customHeight="true" outlineLevel="0" collapsed="false">
      <c r="A685" s="42" t="n">
        <v>45722</v>
      </c>
      <c r="B685" s="24" t="s">
        <v>783</v>
      </c>
      <c r="C685" s="43" t="s">
        <v>25</v>
      </c>
      <c r="D685" s="43" t="s">
        <v>81</v>
      </c>
      <c r="E685" s="24" t="n">
        <v>1</v>
      </c>
      <c r="F685" s="44" t="n">
        <v>3.5</v>
      </c>
      <c r="G685" s="24" t="n">
        <v>0</v>
      </c>
      <c r="H685" s="24" t="n">
        <v>12</v>
      </c>
      <c r="I685" s="44" t="n">
        <f aca="false">E685*F685*(1-G685/100)*(1+H685/100)</f>
        <v>3.92</v>
      </c>
      <c r="J685" s="24" t="s">
        <v>26</v>
      </c>
      <c r="K685" s="24" t="s">
        <v>97</v>
      </c>
      <c r="L685" s="43" t="s">
        <v>122</v>
      </c>
      <c r="M685" s="44" t="n">
        <f aca="false">F685*(1-G685/100)-2.2</f>
        <v>1.3</v>
      </c>
      <c r="N685" s="44" t="n">
        <f aca="false">M685*E685</f>
        <v>1.3</v>
      </c>
    </row>
    <row r="686" customFormat="false" ht="16.5" hidden="false" customHeight="true" outlineLevel="0" collapsed="false">
      <c r="A686" s="45" t="n">
        <v>45723</v>
      </c>
      <c r="B686" s="28" t="s">
        <v>784</v>
      </c>
      <c r="C686" s="46" t="s">
        <v>27</v>
      </c>
      <c r="D686" s="46" t="s">
        <v>81</v>
      </c>
      <c r="E686" s="28" t="n">
        <v>4</v>
      </c>
      <c r="F686" s="47" t="n">
        <v>4.5</v>
      </c>
      <c r="G686" s="28" t="n">
        <v>10</v>
      </c>
      <c r="H686" s="28" t="n">
        <v>12</v>
      </c>
      <c r="I686" s="47" t="n">
        <f aca="false">E686*F686*(1-G686/100)*(1+H686/100)</f>
        <v>18.144</v>
      </c>
      <c r="J686" s="28" t="s">
        <v>34</v>
      </c>
      <c r="K686" s="28" t="s">
        <v>97</v>
      </c>
      <c r="L686" s="46" t="s">
        <v>83</v>
      </c>
      <c r="M686" s="47" t="n">
        <f aca="false">F686*(1-G686/100)-2.8</f>
        <v>1.25</v>
      </c>
      <c r="N686" s="47" t="n">
        <f aca="false">M686*E686</f>
        <v>5</v>
      </c>
    </row>
    <row r="687" customFormat="false" ht="16.5" hidden="false" customHeight="true" outlineLevel="0" collapsed="false">
      <c r="A687" s="42" t="n">
        <v>45723</v>
      </c>
      <c r="B687" s="24" t="s">
        <v>785</v>
      </c>
      <c r="C687" s="43" t="s">
        <v>27</v>
      </c>
      <c r="D687" s="43" t="s">
        <v>81</v>
      </c>
      <c r="E687" s="24" t="n">
        <v>1</v>
      </c>
      <c r="F687" s="44" t="n">
        <v>4.5</v>
      </c>
      <c r="G687" s="24" t="n">
        <v>0</v>
      </c>
      <c r="H687" s="24" t="n">
        <v>12</v>
      </c>
      <c r="I687" s="44" t="n">
        <f aca="false">E687*F687*(1-G687/100)*(1+H687/100)</f>
        <v>5.04</v>
      </c>
      <c r="J687" s="24" t="s">
        <v>28</v>
      </c>
      <c r="K687" s="24" t="s">
        <v>85</v>
      </c>
      <c r="L687" s="43" t="s">
        <v>117</v>
      </c>
      <c r="M687" s="44" t="n">
        <f aca="false">F687*(1-G687/100)-2.8</f>
        <v>1.7</v>
      </c>
      <c r="N687" s="44" t="n">
        <f aca="false">M687*E687</f>
        <v>1.7</v>
      </c>
    </row>
    <row r="688" customFormat="false" ht="16.5" hidden="false" customHeight="true" outlineLevel="0" collapsed="false">
      <c r="A688" s="45" t="n">
        <v>45723</v>
      </c>
      <c r="B688" s="28" t="s">
        <v>786</v>
      </c>
      <c r="C688" s="46" t="s">
        <v>109</v>
      </c>
      <c r="D688" s="46" t="s">
        <v>110</v>
      </c>
      <c r="E688" s="28" t="n">
        <v>5</v>
      </c>
      <c r="F688" s="47" t="n">
        <v>3.5</v>
      </c>
      <c r="G688" s="28" t="n">
        <v>0</v>
      </c>
      <c r="H688" s="28" t="n">
        <v>12</v>
      </c>
      <c r="I688" s="47" t="n">
        <f aca="false">E688*F688*(1-G688/100)*(1+H688/100)</f>
        <v>19.6</v>
      </c>
      <c r="J688" s="28" t="s">
        <v>32</v>
      </c>
      <c r="K688" s="28" t="s">
        <v>82</v>
      </c>
      <c r="L688" s="46" t="s">
        <v>106</v>
      </c>
      <c r="M688" s="47" t="n">
        <f aca="false">F688*(1-G688/100)-1.4</f>
        <v>2.1</v>
      </c>
      <c r="N688" s="47" t="n">
        <f aca="false">M688*E688</f>
        <v>10.5</v>
      </c>
    </row>
    <row r="689" customFormat="false" ht="16.5" hidden="false" customHeight="true" outlineLevel="0" collapsed="false">
      <c r="A689" s="42" t="n">
        <v>45723</v>
      </c>
      <c r="B689" s="24" t="s">
        <v>787</v>
      </c>
      <c r="C689" s="43" t="s">
        <v>93</v>
      </c>
      <c r="D689" s="43" t="s">
        <v>81</v>
      </c>
      <c r="E689" s="24" t="n">
        <v>3</v>
      </c>
      <c r="F689" s="44" t="n">
        <v>3</v>
      </c>
      <c r="G689" s="24" t="n">
        <v>0</v>
      </c>
      <c r="H689" s="24" t="n">
        <v>12</v>
      </c>
      <c r="I689" s="44" t="n">
        <f aca="false">E689*F689*(1-G689/100)*(1+H689/100)</f>
        <v>10.08</v>
      </c>
      <c r="J689" s="24" t="s">
        <v>26</v>
      </c>
      <c r="K689" s="24" t="s">
        <v>85</v>
      </c>
      <c r="L689" s="43" t="s">
        <v>86</v>
      </c>
      <c r="M689" s="44" t="n">
        <f aca="false">F689*(1-G689/100)-1.5</f>
        <v>1.5</v>
      </c>
      <c r="N689" s="44" t="n">
        <f aca="false">M689*E689</f>
        <v>4.5</v>
      </c>
    </row>
    <row r="690" customFormat="false" ht="16.5" hidden="false" customHeight="true" outlineLevel="0" collapsed="false">
      <c r="A690" s="45" t="n">
        <v>45723</v>
      </c>
      <c r="B690" s="28" t="s">
        <v>788</v>
      </c>
      <c r="C690" s="46" t="s">
        <v>33</v>
      </c>
      <c r="D690" s="46" t="s">
        <v>104</v>
      </c>
      <c r="E690" s="28" t="n">
        <v>2</v>
      </c>
      <c r="F690" s="47" t="n">
        <v>5</v>
      </c>
      <c r="G690" s="28" t="n">
        <v>0</v>
      </c>
      <c r="H690" s="28" t="n">
        <v>12</v>
      </c>
      <c r="I690" s="47" t="n">
        <f aca="false">E690*F690*(1-G690/100)*(1+H690/100)</f>
        <v>11.2</v>
      </c>
      <c r="J690" s="28" t="s">
        <v>26</v>
      </c>
      <c r="K690" s="28" t="s">
        <v>101</v>
      </c>
      <c r="L690" s="46" t="s">
        <v>89</v>
      </c>
      <c r="M690" s="47" t="n">
        <f aca="false">F690*(1-G690/100)-2.5</f>
        <v>2.5</v>
      </c>
      <c r="N690" s="47" t="n">
        <f aca="false">M690*E690</f>
        <v>5</v>
      </c>
    </row>
    <row r="691" customFormat="false" ht="16.5" hidden="false" customHeight="true" outlineLevel="0" collapsed="false">
      <c r="A691" s="42" t="n">
        <v>45723</v>
      </c>
      <c r="B691" s="24" t="s">
        <v>789</v>
      </c>
      <c r="C691" s="43" t="s">
        <v>124</v>
      </c>
      <c r="D691" s="43" t="s">
        <v>96</v>
      </c>
      <c r="E691" s="24" t="n">
        <v>2</v>
      </c>
      <c r="F691" s="44" t="n">
        <v>4</v>
      </c>
      <c r="G691" s="24" t="n">
        <v>0</v>
      </c>
      <c r="H691" s="24" t="n">
        <v>12</v>
      </c>
      <c r="I691" s="44" t="n">
        <f aca="false">E691*F691*(1-G691/100)*(1+H691/100)</f>
        <v>8.96</v>
      </c>
      <c r="J691" s="24" t="s">
        <v>28</v>
      </c>
      <c r="K691" s="24" t="s">
        <v>101</v>
      </c>
      <c r="L691" s="43" t="s">
        <v>94</v>
      </c>
      <c r="M691" s="44" t="n">
        <f aca="false">F691*(1-G691/100)-1.8</f>
        <v>2.2</v>
      </c>
      <c r="N691" s="44" t="n">
        <f aca="false">M691*E691</f>
        <v>4.4</v>
      </c>
    </row>
    <row r="692" customFormat="false" ht="16.5" hidden="false" customHeight="true" outlineLevel="0" collapsed="false">
      <c r="A692" s="45" t="n">
        <v>45723</v>
      </c>
      <c r="B692" s="28" t="s">
        <v>790</v>
      </c>
      <c r="C692" s="46" t="s">
        <v>35</v>
      </c>
      <c r="D692" s="46" t="s">
        <v>81</v>
      </c>
      <c r="E692" s="28" t="n">
        <v>5</v>
      </c>
      <c r="F692" s="47" t="n">
        <v>1.5</v>
      </c>
      <c r="G692" s="28" t="n">
        <v>10</v>
      </c>
      <c r="H692" s="28" t="n">
        <v>12</v>
      </c>
      <c r="I692" s="47" t="n">
        <f aca="false">E692*F692*(1-G692/100)*(1+H692/100)</f>
        <v>7.56</v>
      </c>
      <c r="J692" s="28" t="s">
        <v>24</v>
      </c>
      <c r="K692" s="28" t="s">
        <v>88</v>
      </c>
      <c r="L692" s="46" t="s">
        <v>86</v>
      </c>
      <c r="M692" s="47" t="n">
        <f aca="false">F692*(1-G692/100)-0.6</f>
        <v>0.75</v>
      </c>
      <c r="N692" s="47" t="n">
        <f aca="false">M692*E692</f>
        <v>3.75</v>
      </c>
    </row>
    <row r="693" customFormat="false" ht="16.5" hidden="false" customHeight="true" outlineLevel="0" collapsed="false">
      <c r="A693" s="42" t="n">
        <v>45724</v>
      </c>
      <c r="B693" s="24" t="s">
        <v>791</v>
      </c>
      <c r="C693" s="43" t="s">
        <v>27</v>
      </c>
      <c r="D693" s="43" t="s">
        <v>81</v>
      </c>
      <c r="E693" s="24" t="n">
        <v>1</v>
      </c>
      <c r="F693" s="44" t="n">
        <v>4.5</v>
      </c>
      <c r="G693" s="24" t="n">
        <v>0</v>
      </c>
      <c r="H693" s="24" t="n">
        <v>12</v>
      </c>
      <c r="I693" s="44" t="n">
        <f aca="false">E693*F693*(1-G693/100)*(1+H693/100)</f>
        <v>5.04</v>
      </c>
      <c r="J693" s="24" t="s">
        <v>24</v>
      </c>
      <c r="K693" s="24" t="s">
        <v>85</v>
      </c>
      <c r="L693" s="43" t="s">
        <v>111</v>
      </c>
      <c r="M693" s="44" t="n">
        <f aca="false">F693*(1-G693/100)-2.8</f>
        <v>1.7</v>
      </c>
      <c r="N693" s="44" t="n">
        <f aca="false">M693*E693</f>
        <v>1.7</v>
      </c>
    </row>
    <row r="694" customFormat="false" ht="16.5" hidden="false" customHeight="true" outlineLevel="0" collapsed="false">
      <c r="A694" s="45" t="n">
        <v>45724</v>
      </c>
      <c r="B694" s="28" t="s">
        <v>792</v>
      </c>
      <c r="C694" s="46" t="s">
        <v>113</v>
      </c>
      <c r="D694" s="46" t="s">
        <v>96</v>
      </c>
      <c r="E694" s="28" t="n">
        <v>1</v>
      </c>
      <c r="F694" s="47" t="n">
        <v>6</v>
      </c>
      <c r="G694" s="28" t="n">
        <v>10</v>
      </c>
      <c r="H694" s="28" t="n">
        <v>12</v>
      </c>
      <c r="I694" s="47" t="n">
        <f aca="false">E694*F694*(1-G694/100)*(1+H694/100)</f>
        <v>6.048</v>
      </c>
      <c r="J694" s="28" t="s">
        <v>28</v>
      </c>
      <c r="K694" s="28" t="s">
        <v>85</v>
      </c>
      <c r="L694" s="46" t="s">
        <v>83</v>
      </c>
      <c r="M694" s="47" t="n">
        <f aca="false">F694*(1-G694/100)-2.8</f>
        <v>2.6</v>
      </c>
      <c r="N694" s="47" t="n">
        <f aca="false">M694*E694</f>
        <v>2.6</v>
      </c>
    </row>
    <row r="695" customFormat="false" ht="16.5" hidden="false" customHeight="true" outlineLevel="0" collapsed="false">
      <c r="A695" s="42" t="n">
        <v>45724</v>
      </c>
      <c r="B695" s="24" t="s">
        <v>793</v>
      </c>
      <c r="C695" s="43" t="s">
        <v>33</v>
      </c>
      <c r="D695" s="43" t="s">
        <v>104</v>
      </c>
      <c r="E695" s="24" t="n">
        <v>1</v>
      </c>
      <c r="F695" s="44" t="n">
        <v>5</v>
      </c>
      <c r="G695" s="24" t="n">
        <v>0</v>
      </c>
      <c r="H695" s="24" t="n">
        <v>12</v>
      </c>
      <c r="I695" s="44" t="n">
        <f aca="false">E695*F695*(1-G695/100)*(1+H695/100)</f>
        <v>5.6</v>
      </c>
      <c r="J695" s="24" t="s">
        <v>32</v>
      </c>
      <c r="K695" s="24" t="s">
        <v>101</v>
      </c>
      <c r="L695" s="43" t="s">
        <v>117</v>
      </c>
      <c r="M695" s="44" t="n">
        <f aca="false">F695*(1-G695/100)-2.5</f>
        <v>2.5</v>
      </c>
      <c r="N695" s="44" t="n">
        <f aca="false">M695*E695</f>
        <v>2.5</v>
      </c>
    </row>
    <row r="696" customFormat="false" ht="16.5" hidden="false" customHeight="true" outlineLevel="0" collapsed="false">
      <c r="A696" s="45" t="n">
        <v>45724</v>
      </c>
      <c r="B696" s="28" t="s">
        <v>794</v>
      </c>
      <c r="C696" s="46" t="s">
        <v>35</v>
      </c>
      <c r="D696" s="46" t="s">
        <v>81</v>
      </c>
      <c r="E696" s="28" t="n">
        <v>5</v>
      </c>
      <c r="F696" s="47" t="n">
        <v>1.5</v>
      </c>
      <c r="G696" s="28" t="n">
        <v>10</v>
      </c>
      <c r="H696" s="28" t="n">
        <v>12</v>
      </c>
      <c r="I696" s="47" t="n">
        <f aca="false">E696*F696*(1-G696/100)*(1+H696/100)</f>
        <v>7.56</v>
      </c>
      <c r="J696" s="28" t="s">
        <v>26</v>
      </c>
      <c r="K696" s="28" t="s">
        <v>85</v>
      </c>
      <c r="L696" s="46" t="s">
        <v>98</v>
      </c>
      <c r="M696" s="47" t="n">
        <f aca="false">F696*(1-G696/100)-0.6</f>
        <v>0.75</v>
      </c>
      <c r="N696" s="47" t="n">
        <f aca="false">M696*E696</f>
        <v>3.75</v>
      </c>
    </row>
    <row r="697" customFormat="false" ht="16.5" hidden="false" customHeight="true" outlineLevel="0" collapsed="false">
      <c r="A697" s="42" t="n">
        <v>45724</v>
      </c>
      <c r="B697" s="24" t="s">
        <v>795</v>
      </c>
      <c r="C697" s="43" t="s">
        <v>124</v>
      </c>
      <c r="D697" s="43" t="s">
        <v>96</v>
      </c>
      <c r="E697" s="24" t="n">
        <v>5</v>
      </c>
      <c r="F697" s="44" t="n">
        <v>4</v>
      </c>
      <c r="G697" s="24" t="n">
        <v>0</v>
      </c>
      <c r="H697" s="24" t="n">
        <v>12</v>
      </c>
      <c r="I697" s="44" t="n">
        <f aca="false">E697*F697*(1-G697/100)*(1+H697/100)</f>
        <v>22.4</v>
      </c>
      <c r="J697" s="24" t="s">
        <v>28</v>
      </c>
      <c r="K697" s="24" t="s">
        <v>101</v>
      </c>
      <c r="L697" s="43" t="s">
        <v>98</v>
      </c>
      <c r="M697" s="44" t="n">
        <f aca="false">F697*(1-G697/100)-1.8</f>
        <v>2.2</v>
      </c>
      <c r="N697" s="44" t="n">
        <f aca="false">M697*E697</f>
        <v>11</v>
      </c>
    </row>
    <row r="698" customFormat="false" ht="16.5" hidden="false" customHeight="true" outlineLevel="0" collapsed="false">
      <c r="A698" s="45" t="n">
        <v>45724</v>
      </c>
      <c r="B698" s="28" t="s">
        <v>796</v>
      </c>
      <c r="C698" s="46" t="s">
        <v>93</v>
      </c>
      <c r="D698" s="46" t="s">
        <v>81</v>
      </c>
      <c r="E698" s="28" t="n">
        <v>2</v>
      </c>
      <c r="F698" s="47" t="n">
        <v>3</v>
      </c>
      <c r="G698" s="28" t="n">
        <v>10</v>
      </c>
      <c r="H698" s="28" t="n">
        <v>12</v>
      </c>
      <c r="I698" s="47" t="n">
        <f aca="false">E698*F698*(1-G698/100)*(1+H698/100)</f>
        <v>6.048</v>
      </c>
      <c r="J698" s="28" t="s">
        <v>26</v>
      </c>
      <c r="K698" s="28" t="s">
        <v>97</v>
      </c>
      <c r="L698" s="46" t="s">
        <v>117</v>
      </c>
      <c r="M698" s="47" t="n">
        <f aca="false">F698*(1-G698/100)-1.5</f>
        <v>1.2</v>
      </c>
      <c r="N698" s="47" t="n">
        <f aca="false">M698*E698</f>
        <v>2.4</v>
      </c>
    </row>
    <row r="699" customFormat="false" ht="16.5" hidden="false" customHeight="true" outlineLevel="0" collapsed="false">
      <c r="A699" s="42" t="n">
        <v>45724</v>
      </c>
      <c r="B699" s="24" t="s">
        <v>797</v>
      </c>
      <c r="C699" s="43" t="s">
        <v>33</v>
      </c>
      <c r="D699" s="43" t="s">
        <v>104</v>
      </c>
      <c r="E699" s="24" t="n">
        <v>3</v>
      </c>
      <c r="F699" s="44" t="n">
        <v>5</v>
      </c>
      <c r="G699" s="24" t="n">
        <v>5</v>
      </c>
      <c r="H699" s="24" t="n">
        <v>12</v>
      </c>
      <c r="I699" s="44" t="n">
        <f aca="false">E699*F699*(1-G699/100)*(1+H699/100)</f>
        <v>15.96</v>
      </c>
      <c r="J699" s="24" t="s">
        <v>28</v>
      </c>
      <c r="K699" s="24" t="s">
        <v>82</v>
      </c>
      <c r="L699" s="43" t="s">
        <v>86</v>
      </c>
      <c r="M699" s="44" t="n">
        <f aca="false">F699*(1-G699/100)-2.5</f>
        <v>2.25</v>
      </c>
      <c r="N699" s="44" t="n">
        <f aca="false">M699*E699</f>
        <v>6.75</v>
      </c>
    </row>
    <row r="700" customFormat="false" ht="16.5" hidden="false" customHeight="true" outlineLevel="0" collapsed="false">
      <c r="A700" s="45" t="n">
        <v>45724</v>
      </c>
      <c r="B700" s="28" t="s">
        <v>798</v>
      </c>
      <c r="C700" s="46" t="s">
        <v>124</v>
      </c>
      <c r="D700" s="46" t="s">
        <v>96</v>
      </c>
      <c r="E700" s="28" t="n">
        <v>4</v>
      </c>
      <c r="F700" s="47" t="n">
        <v>4</v>
      </c>
      <c r="G700" s="28" t="n">
        <v>0</v>
      </c>
      <c r="H700" s="28" t="n">
        <v>12</v>
      </c>
      <c r="I700" s="47" t="n">
        <f aca="false">E700*F700*(1-G700/100)*(1+H700/100)</f>
        <v>17.92</v>
      </c>
      <c r="J700" s="28" t="s">
        <v>32</v>
      </c>
      <c r="K700" s="28" t="s">
        <v>97</v>
      </c>
      <c r="L700" s="46" t="s">
        <v>91</v>
      </c>
      <c r="M700" s="47" t="n">
        <f aca="false">F700*(1-G700/100)-1.8</f>
        <v>2.2</v>
      </c>
      <c r="N700" s="47" t="n">
        <f aca="false">M700*E700</f>
        <v>8.8</v>
      </c>
    </row>
    <row r="701" customFormat="false" ht="16.5" hidden="false" customHeight="true" outlineLevel="0" collapsed="false">
      <c r="A701" s="42" t="n">
        <v>45724</v>
      </c>
      <c r="B701" s="24" t="s">
        <v>799</v>
      </c>
      <c r="C701" s="43" t="s">
        <v>25</v>
      </c>
      <c r="D701" s="43" t="s">
        <v>81</v>
      </c>
      <c r="E701" s="24" t="n">
        <v>1</v>
      </c>
      <c r="F701" s="44" t="n">
        <v>3.5</v>
      </c>
      <c r="G701" s="24" t="n">
        <v>0</v>
      </c>
      <c r="H701" s="24" t="n">
        <v>12</v>
      </c>
      <c r="I701" s="44" t="n">
        <f aca="false">E701*F701*(1-G701/100)*(1+H701/100)</f>
        <v>3.92</v>
      </c>
      <c r="J701" s="24" t="s">
        <v>24</v>
      </c>
      <c r="K701" s="24" t="s">
        <v>88</v>
      </c>
      <c r="L701" s="43" t="s">
        <v>111</v>
      </c>
      <c r="M701" s="44" t="n">
        <f aca="false">F701*(1-G701/100)-2.2</f>
        <v>1.3</v>
      </c>
      <c r="N701" s="44" t="n">
        <f aca="false">M701*E701</f>
        <v>1.3</v>
      </c>
    </row>
    <row r="702" customFormat="false" ht="16.5" hidden="false" customHeight="true" outlineLevel="0" collapsed="false">
      <c r="A702" s="45" t="n">
        <v>45724</v>
      </c>
      <c r="B702" s="28" t="s">
        <v>800</v>
      </c>
      <c r="C702" s="46" t="s">
        <v>29</v>
      </c>
      <c r="D702" s="46" t="s">
        <v>104</v>
      </c>
      <c r="E702" s="28" t="n">
        <v>1</v>
      </c>
      <c r="F702" s="47" t="n">
        <v>2.5</v>
      </c>
      <c r="G702" s="28" t="n">
        <v>10</v>
      </c>
      <c r="H702" s="28" t="n">
        <v>12</v>
      </c>
      <c r="I702" s="47" t="n">
        <f aca="false">E702*F702*(1-G702/100)*(1+H702/100)</f>
        <v>2.52</v>
      </c>
      <c r="J702" s="28" t="s">
        <v>24</v>
      </c>
      <c r="K702" s="28" t="s">
        <v>101</v>
      </c>
      <c r="L702" s="46" t="s">
        <v>122</v>
      </c>
      <c r="M702" s="47" t="n">
        <f aca="false">F702*(1-G702/100)-1.1</f>
        <v>1.15</v>
      </c>
      <c r="N702" s="47" t="n">
        <f aca="false">M702*E702</f>
        <v>1.15</v>
      </c>
    </row>
    <row r="703" customFormat="false" ht="16.5" hidden="false" customHeight="true" outlineLevel="0" collapsed="false">
      <c r="A703" s="42" t="n">
        <v>45724</v>
      </c>
      <c r="B703" s="24" t="s">
        <v>801</v>
      </c>
      <c r="C703" s="43" t="s">
        <v>33</v>
      </c>
      <c r="D703" s="43" t="s">
        <v>104</v>
      </c>
      <c r="E703" s="24" t="n">
        <v>4</v>
      </c>
      <c r="F703" s="44" t="n">
        <v>5</v>
      </c>
      <c r="G703" s="24" t="n">
        <v>0</v>
      </c>
      <c r="H703" s="24" t="n">
        <v>12</v>
      </c>
      <c r="I703" s="44" t="n">
        <f aca="false">E703*F703*(1-G703/100)*(1+H703/100)</f>
        <v>22.4</v>
      </c>
      <c r="J703" s="24" t="s">
        <v>28</v>
      </c>
      <c r="K703" s="24" t="s">
        <v>85</v>
      </c>
      <c r="L703" s="43" t="s">
        <v>86</v>
      </c>
      <c r="M703" s="44" t="n">
        <f aca="false">F703*(1-G703/100)-2.5</f>
        <v>2.5</v>
      </c>
      <c r="N703" s="44" t="n">
        <f aca="false">M703*E703</f>
        <v>10</v>
      </c>
    </row>
    <row r="704" customFormat="false" ht="16.5" hidden="false" customHeight="true" outlineLevel="0" collapsed="false">
      <c r="A704" s="45" t="n">
        <v>45724</v>
      </c>
      <c r="B704" s="28" t="s">
        <v>802</v>
      </c>
      <c r="C704" s="46" t="s">
        <v>27</v>
      </c>
      <c r="D704" s="46" t="s">
        <v>81</v>
      </c>
      <c r="E704" s="28" t="n">
        <v>2</v>
      </c>
      <c r="F704" s="47" t="n">
        <v>4.5</v>
      </c>
      <c r="G704" s="28" t="n">
        <v>0</v>
      </c>
      <c r="H704" s="28" t="n">
        <v>12</v>
      </c>
      <c r="I704" s="47" t="n">
        <f aca="false">E704*F704*(1-G704/100)*(1+H704/100)</f>
        <v>10.08</v>
      </c>
      <c r="J704" s="28" t="s">
        <v>28</v>
      </c>
      <c r="K704" s="28" t="s">
        <v>97</v>
      </c>
      <c r="L704" s="46" t="s">
        <v>106</v>
      </c>
      <c r="M704" s="47" t="n">
        <f aca="false">F704*(1-G704/100)-2.8</f>
        <v>1.7</v>
      </c>
      <c r="N704" s="47" t="n">
        <f aca="false">M704*E704</f>
        <v>3.4</v>
      </c>
    </row>
    <row r="705" customFormat="false" ht="16.5" hidden="false" customHeight="true" outlineLevel="0" collapsed="false">
      <c r="A705" s="42" t="n">
        <v>45724</v>
      </c>
      <c r="B705" s="24" t="s">
        <v>803</v>
      </c>
      <c r="C705" s="43" t="s">
        <v>113</v>
      </c>
      <c r="D705" s="43" t="s">
        <v>96</v>
      </c>
      <c r="E705" s="24" t="n">
        <v>1</v>
      </c>
      <c r="F705" s="44" t="n">
        <v>6</v>
      </c>
      <c r="G705" s="24" t="n">
        <v>0</v>
      </c>
      <c r="H705" s="24" t="n">
        <v>12</v>
      </c>
      <c r="I705" s="44" t="n">
        <f aca="false">E705*F705*(1-G705/100)*(1+H705/100)</f>
        <v>6.72</v>
      </c>
      <c r="J705" s="24" t="s">
        <v>24</v>
      </c>
      <c r="K705" s="24" t="s">
        <v>101</v>
      </c>
      <c r="L705" s="43" t="s">
        <v>83</v>
      </c>
      <c r="M705" s="44" t="n">
        <f aca="false">F705*(1-G705/100)-2.8</f>
        <v>3.2</v>
      </c>
      <c r="N705" s="44" t="n">
        <f aca="false">M705*E705</f>
        <v>3.2</v>
      </c>
    </row>
    <row r="706" customFormat="false" ht="16.5" hidden="false" customHeight="true" outlineLevel="0" collapsed="false">
      <c r="A706" s="45" t="n">
        <v>45724</v>
      </c>
      <c r="B706" s="28" t="s">
        <v>804</v>
      </c>
      <c r="C706" s="46" t="s">
        <v>29</v>
      </c>
      <c r="D706" s="46" t="s">
        <v>104</v>
      </c>
      <c r="E706" s="28" t="n">
        <v>3</v>
      </c>
      <c r="F706" s="47" t="n">
        <v>2.5</v>
      </c>
      <c r="G706" s="28" t="n">
        <v>0</v>
      </c>
      <c r="H706" s="28" t="n">
        <v>12</v>
      </c>
      <c r="I706" s="47" t="n">
        <f aca="false">E706*F706*(1-G706/100)*(1+H706/100)</f>
        <v>8.4</v>
      </c>
      <c r="J706" s="28" t="s">
        <v>32</v>
      </c>
      <c r="K706" s="28" t="s">
        <v>88</v>
      </c>
      <c r="L706" s="46" t="s">
        <v>122</v>
      </c>
      <c r="M706" s="47" t="n">
        <f aca="false">F706*(1-G706/100)-1.1</f>
        <v>1.4</v>
      </c>
      <c r="N706" s="47" t="n">
        <f aca="false">M706*E706</f>
        <v>4.2</v>
      </c>
    </row>
    <row r="707" customFormat="false" ht="16.5" hidden="false" customHeight="true" outlineLevel="0" collapsed="false">
      <c r="A707" s="42" t="n">
        <v>45724</v>
      </c>
      <c r="B707" s="24" t="s">
        <v>805</v>
      </c>
      <c r="C707" s="43" t="s">
        <v>27</v>
      </c>
      <c r="D707" s="43" t="s">
        <v>81</v>
      </c>
      <c r="E707" s="24" t="n">
        <v>3</v>
      </c>
      <c r="F707" s="44" t="n">
        <v>4.5</v>
      </c>
      <c r="G707" s="24" t="n">
        <v>0</v>
      </c>
      <c r="H707" s="24" t="n">
        <v>12</v>
      </c>
      <c r="I707" s="44" t="n">
        <f aca="false">E707*F707*(1-G707/100)*(1+H707/100)</f>
        <v>15.12</v>
      </c>
      <c r="J707" s="24" t="s">
        <v>26</v>
      </c>
      <c r="K707" s="24" t="s">
        <v>101</v>
      </c>
      <c r="L707" s="43" t="s">
        <v>94</v>
      </c>
      <c r="M707" s="44" t="n">
        <f aca="false">F707*(1-G707/100)-2.8</f>
        <v>1.7</v>
      </c>
      <c r="N707" s="44" t="n">
        <f aca="false">M707*E707</f>
        <v>5.1</v>
      </c>
    </row>
    <row r="708" customFormat="false" ht="16.5" hidden="false" customHeight="true" outlineLevel="0" collapsed="false">
      <c r="A708" s="45" t="n">
        <v>45725</v>
      </c>
      <c r="B708" s="28" t="s">
        <v>806</v>
      </c>
      <c r="C708" s="46" t="s">
        <v>93</v>
      </c>
      <c r="D708" s="46" t="s">
        <v>81</v>
      </c>
      <c r="E708" s="28" t="n">
        <v>3</v>
      </c>
      <c r="F708" s="47" t="n">
        <v>3</v>
      </c>
      <c r="G708" s="28" t="n">
        <v>5</v>
      </c>
      <c r="H708" s="28" t="n">
        <v>12</v>
      </c>
      <c r="I708" s="47" t="n">
        <f aca="false">E708*F708*(1-G708/100)*(1+H708/100)</f>
        <v>9.576</v>
      </c>
      <c r="J708" s="28" t="s">
        <v>32</v>
      </c>
      <c r="K708" s="28" t="s">
        <v>85</v>
      </c>
      <c r="L708" s="46" t="s">
        <v>83</v>
      </c>
      <c r="M708" s="47" t="n">
        <f aca="false">F708*(1-G708/100)-1.5</f>
        <v>1.35</v>
      </c>
      <c r="N708" s="47" t="n">
        <f aca="false">M708*E708</f>
        <v>4.05</v>
      </c>
    </row>
    <row r="709" customFormat="false" ht="16.5" hidden="false" customHeight="true" outlineLevel="0" collapsed="false">
      <c r="A709" s="42" t="n">
        <v>45725</v>
      </c>
      <c r="B709" s="24" t="s">
        <v>807</v>
      </c>
      <c r="C709" s="43" t="s">
        <v>27</v>
      </c>
      <c r="D709" s="43" t="s">
        <v>81</v>
      </c>
      <c r="E709" s="24" t="n">
        <v>2</v>
      </c>
      <c r="F709" s="44" t="n">
        <v>4.5</v>
      </c>
      <c r="G709" s="24" t="n">
        <v>0</v>
      </c>
      <c r="H709" s="24" t="n">
        <v>12</v>
      </c>
      <c r="I709" s="44" t="n">
        <f aca="false">E709*F709*(1-G709/100)*(1+H709/100)</f>
        <v>10.08</v>
      </c>
      <c r="J709" s="24" t="s">
        <v>26</v>
      </c>
      <c r="K709" s="24" t="s">
        <v>101</v>
      </c>
      <c r="L709" s="43" t="s">
        <v>94</v>
      </c>
      <c r="M709" s="44" t="n">
        <f aca="false">F709*(1-G709/100)-2.8</f>
        <v>1.7</v>
      </c>
      <c r="N709" s="44" t="n">
        <f aca="false">M709*E709</f>
        <v>3.4</v>
      </c>
    </row>
    <row r="710" customFormat="false" ht="16.5" hidden="false" customHeight="true" outlineLevel="0" collapsed="false">
      <c r="A710" s="45" t="n">
        <v>45725</v>
      </c>
      <c r="B710" s="28" t="s">
        <v>808</v>
      </c>
      <c r="C710" s="46" t="s">
        <v>109</v>
      </c>
      <c r="D710" s="46" t="s">
        <v>110</v>
      </c>
      <c r="E710" s="28" t="n">
        <v>4</v>
      </c>
      <c r="F710" s="47" t="n">
        <v>3.5</v>
      </c>
      <c r="G710" s="28" t="n">
        <v>10</v>
      </c>
      <c r="H710" s="28" t="n">
        <v>12</v>
      </c>
      <c r="I710" s="47" t="n">
        <f aca="false">E710*F710*(1-G710/100)*(1+H710/100)</f>
        <v>14.112</v>
      </c>
      <c r="J710" s="28" t="s">
        <v>32</v>
      </c>
      <c r="K710" s="28" t="s">
        <v>82</v>
      </c>
      <c r="L710" s="46" t="s">
        <v>89</v>
      </c>
      <c r="M710" s="47" t="n">
        <f aca="false">F710*(1-G710/100)-1.4</f>
        <v>1.75</v>
      </c>
      <c r="N710" s="47" t="n">
        <f aca="false">M710*E710</f>
        <v>7</v>
      </c>
    </row>
    <row r="711" customFormat="false" ht="16.5" hidden="false" customHeight="true" outlineLevel="0" collapsed="false">
      <c r="A711" s="42" t="n">
        <v>45725</v>
      </c>
      <c r="B711" s="24" t="s">
        <v>809</v>
      </c>
      <c r="C711" s="43" t="s">
        <v>113</v>
      </c>
      <c r="D711" s="43" t="s">
        <v>96</v>
      </c>
      <c r="E711" s="24" t="n">
        <v>3</v>
      </c>
      <c r="F711" s="44" t="n">
        <v>6</v>
      </c>
      <c r="G711" s="24" t="n">
        <v>10</v>
      </c>
      <c r="H711" s="24" t="n">
        <v>12</v>
      </c>
      <c r="I711" s="44" t="n">
        <f aca="false">E711*F711*(1-G711/100)*(1+H711/100)</f>
        <v>18.144</v>
      </c>
      <c r="J711" s="24" t="s">
        <v>24</v>
      </c>
      <c r="K711" s="24" t="s">
        <v>82</v>
      </c>
      <c r="L711" s="43" t="s">
        <v>111</v>
      </c>
      <c r="M711" s="44" t="n">
        <f aca="false">F711*(1-G711/100)-2.8</f>
        <v>2.6</v>
      </c>
      <c r="N711" s="44" t="n">
        <f aca="false">M711*E711</f>
        <v>7.8</v>
      </c>
    </row>
    <row r="712" customFormat="false" ht="16.5" hidden="false" customHeight="true" outlineLevel="0" collapsed="false">
      <c r="A712" s="45" t="n">
        <v>45725</v>
      </c>
      <c r="B712" s="28" t="s">
        <v>810</v>
      </c>
      <c r="C712" s="46" t="s">
        <v>93</v>
      </c>
      <c r="D712" s="46" t="s">
        <v>81</v>
      </c>
      <c r="E712" s="28" t="n">
        <v>1</v>
      </c>
      <c r="F712" s="47" t="n">
        <v>3</v>
      </c>
      <c r="G712" s="28" t="n">
        <v>5</v>
      </c>
      <c r="H712" s="28" t="n">
        <v>12</v>
      </c>
      <c r="I712" s="47" t="n">
        <f aca="false">E712*F712*(1-G712/100)*(1+H712/100)</f>
        <v>3.192</v>
      </c>
      <c r="J712" s="28" t="s">
        <v>32</v>
      </c>
      <c r="K712" s="28" t="s">
        <v>101</v>
      </c>
      <c r="L712" s="46" t="s">
        <v>98</v>
      </c>
      <c r="M712" s="47" t="n">
        <f aca="false">F712*(1-G712/100)-1.5</f>
        <v>1.35</v>
      </c>
      <c r="N712" s="47" t="n">
        <f aca="false">M712*E712</f>
        <v>1.35</v>
      </c>
    </row>
    <row r="713" customFormat="false" ht="16.5" hidden="false" customHeight="true" outlineLevel="0" collapsed="false">
      <c r="A713" s="42" t="n">
        <v>45725</v>
      </c>
      <c r="B713" s="24" t="s">
        <v>811</v>
      </c>
      <c r="C713" s="43" t="s">
        <v>35</v>
      </c>
      <c r="D713" s="43" t="s">
        <v>81</v>
      </c>
      <c r="E713" s="24" t="n">
        <v>3</v>
      </c>
      <c r="F713" s="44" t="n">
        <v>1.5</v>
      </c>
      <c r="G713" s="24" t="n">
        <v>0</v>
      </c>
      <c r="H713" s="24" t="n">
        <v>12</v>
      </c>
      <c r="I713" s="44" t="n">
        <f aca="false">E713*F713*(1-G713/100)*(1+H713/100)</f>
        <v>5.04</v>
      </c>
      <c r="J713" s="24" t="s">
        <v>34</v>
      </c>
      <c r="K713" s="24" t="s">
        <v>88</v>
      </c>
      <c r="L713" s="43" t="s">
        <v>89</v>
      </c>
      <c r="M713" s="44" t="n">
        <f aca="false">F713*(1-G713/100)-0.6</f>
        <v>0.9</v>
      </c>
      <c r="N713" s="44" t="n">
        <f aca="false">M713*E713</f>
        <v>2.7</v>
      </c>
    </row>
    <row r="714" customFormat="false" ht="16.5" hidden="false" customHeight="true" outlineLevel="0" collapsed="false">
      <c r="A714" s="45" t="n">
        <v>45725</v>
      </c>
      <c r="B714" s="28" t="s">
        <v>812</v>
      </c>
      <c r="C714" s="46" t="s">
        <v>33</v>
      </c>
      <c r="D714" s="46" t="s">
        <v>104</v>
      </c>
      <c r="E714" s="28" t="n">
        <v>3</v>
      </c>
      <c r="F714" s="47" t="n">
        <v>5</v>
      </c>
      <c r="G714" s="28" t="n">
        <v>10</v>
      </c>
      <c r="H714" s="28" t="n">
        <v>12</v>
      </c>
      <c r="I714" s="47" t="n">
        <f aca="false">E714*F714*(1-G714/100)*(1+H714/100)</f>
        <v>15.12</v>
      </c>
      <c r="J714" s="28" t="s">
        <v>34</v>
      </c>
      <c r="K714" s="28" t="s">
        <v>88</v>
      </c>
      <c r="L714" s="46" t="s">
        <v>98</v>
      </c>
      <c r="M714" s="47" t="n">
        <f aca="false">F714*(1-G714/100)-2.5</f>
        <v>2</v>
      </c>
      <c r="N714" s="47" t="n">
        <f aca="false">M714*E714</f>
        <v>6</v>
      </c>
    </row>
    <row r="715" customFormat="false" ht="16.5" hidden="false" customHeight="true" outlineLevel="0" collapsed="false">
      <c r="A715" s="42" t="n">
        <v>45725</v>
      </c>
      <c r="B715" s="24" t="s">
        <v>813</v>
      </c>
      <c r="C715" s="43" t="s">
        <v>113</v>
      </c>
      <c r="D715" s="43" t="s">
        <v>96</v>
      </c>
      <c r="E715" s="24" t="n">
        <v>2</v>
      </c>
      <c r="F715" s="44" t="n">
        <v>6</v>
      </c>
      <c r="G715" s="24" t="n">
        <v>5</v>
      </c>
      <c r="H715" s="24" t="n">
        <v>12</v>
      </c>
      <c r="I715" s="44" t="n">
        <f aca="false">E715*F715*(1-G715/100)*(1+H715/100)</f>
        <v>12.768</v>
      </c>
      <c r="J715" s="24" t="s">
        <v>28</v>
      </c>
      <c r="K715" s="24" t="s">
        <v>85</v>
      </c>
      <c r="L715" s="43" t="s">
        <v>83</v>
      </c>
      <c r="M715" s="44" t="n">
        <f aca="false">F715*(1-G715/100)-2.8</f>
        <v>2.9</v>
      </c>
      <c r="N715" s="44" t="n">
        <f aca="false">M715*E715</f>
        <v>5.8</v>
      </c>
    </row>
    <row r="716" customFormat="false" ht="16.5" hidden="false" customHeight="true" outlineLevel="0" collapsed="false">
      <c r="A716" s="45" t="n">
        <v>45725</v>
      </c>
      <c r="B716" s="28" t="s">
        <v>814</v>
      </c>
      <c r="C716" s="46" t="s">
        <v>124</v>
      </c>
      <c r="D716" s="46" t="s">
        <v>96</v>
      </c>
      <c r="E716" s="28" t="n">
        <v>5</v>
      </c>
      <c r="F716" s="47" t="n">
        <v>4</v>
      </c>
      <c r="G716" s="28" t="n">
        <v>0</v>
      </c>
      <c r="H716" s="28" t="n">
        <v>12</v>
      </c>
      <c r="I716" s="47" t="n">
        <f aca="false">E716*F716*(1-G716/100)*(1+H716/100)</f>
        <v>22.4</v>
      </c>
      <c r="J716" s="28" t="s">
        <v>24</v>
      </c>
      <c r="K716" s="28" t="s">
        <v>82</v>
      </c>
      <c r="L716" s="46" t="s">
        <v>117</v>
      </c>
      <c r="M716" s="47" t="n">
        <f aca="false">F716*(1-G716/100)-1.8</f>
        <v>2.2</v>
      </c>
      <c r="N716" s="47" t="n">
        <f aca="false">M716*E716</f>
        <v>11</v>
      </c>
    </row>
    <row r="717" customFormat="false" ht="16.5" hidden="false" customHeight="true" outlineLevel="0" collapsed="false">
      <c r="A717" s="42" t="n">
        <v>45725</v>
      </c>
      <c r="B717" s="24" t="s">
        <v>815</v>
      </c>
      <c r="C717" s="43" t="s">
        <v>93</v>
      </c>
      <c r="D717" s="43" t="s">
        <v>81</v>
      </c>
      <c r="E717" s="24" t="n">
        <v>4</v>
      </c>
      <c r="F717" s="44" t="n">
        <v>3</v>
      </c>
      <c r="G717" s="24" t="n">
        <v>0</v>
      </c>
      <c r="H717" s="24" t="n">
        <v>12</v>
      </c>
      <c r="I717" s="44" t="n">
        <f aca="false">E717*F717*(1-G717/100)*(1+H717/100)</f>
        <v>13.44</v>
      </c>
      <c r="J717" s="24" t="s">
        <v>24</v>
      </c>
      <c r="K717" s="24" t="s">
        <v>85</v>
      </c>
      <c r="L717" s="43" t="s">
        <v>106</v>
      </c>
      <c r="M717" s="44" t="n">
        <f aca="false">F717*(1-G717/100)-1.5</f>
        <v>1.5</v>
      </c>
      <c r="N717" s="44" t="n">
        <f aca="false">M717*E717</f>
        <v>6</v>
      </c>
    </row>
    <row r="718" customFormat="false" ht="16.5" hidden="false" customHeight="true" outlineLevel="0" collapsed="false">
      <c r="A718" s="45" t="n">
        <v>45725</v>
      </c>
      <c r="B718" s="28" t="s">
        <v>816</v>
      </c>
      <c r="C718" s="46" t="s">
        <v>33</v>
      </c>
      <c r="D718" s="46" t="s">
        <v>104</v>
      </c>
      <c r="E718" s="28" t="n">
        <v>3</v>
      </c>
      <c r="F718" s="47" t="n">
        <v>5</v>
      </c>
      <c r="G718" s="28" t="n">
        <v>0</v>
      </c>
      <c r="H718" s="28" t="n">
        <v>12</v>
      </c>
      <c r="I718" s="47" t="n">
        <f aca="false">E718*F718*(1-G718/100)*(1+H718/100)</f>
        <v>16.8</v>
      </c>
      <c r="J718" s="28" t="s">
        <v>24</v>
      </c>
      <c r="K718" s="28" t="s">
        <v>88</v>
      </c>
      <c r="L718" s="46" t="s">
        <v>91</v>
      </c>
      <c r="M718" s="47" t="n">
        <f aca="false">F718*(1-G718/100)-2.5</f>
        <v>2.5</v>
      </c>
      <c r="N718" s="47" t="n">
        <f aca="false">M718*E718</f>
        <v>7.5</v>
      </c>
    </row>
    <row r="719" customFormat="false" ht="16.5" hidden="false" customHeight="true" outlineLevel="0" collapsed="false">
      <c r="A719" s="42" t="n">
        <v>45726</v>
      </c>
      <c r="B719" s="24" t="s">
        <v>817</v>
      </c>
      <c r="C719" s="43" t="s">
        <v>113</v>
      </c>
      <c r="D719" s="43" t="s">
        <v>96</v>
      </c>
      <c r="E719" s="24" t="n">
        <v>4</v>
      </c>
      <c r="F719" s="44" t="n">
        <v>6</v>
      </c>
      <c r="G719" s="24" t="n">
        <v>0</v>
      </c>
      <c r="H719" s="24" t="n">
        <v>12</v>
      </c>
      <c r="I719" s="44" t="n">
        <f aca="false">E719*F719*(1-G719/100)*(1+H719/100)</f>
        <v>26.88</v>
      </c>
      <c r="J719" s="24" t="s">
        <v>24</v>
      </c>
      <c r="K719" s="24" t="s">
        <v>85</v>
      </c>
      <c r="L719" s="43" t="s">
        <v>111</v>
      </c>
      <c r="M719" s="44" t="n">
        <f aca="false">F719*(1-G719/100)-2.8</f>
        <v>3.2</v>
      </c>
      <c r="N719" s="44" t="n">
        <f aca="false">M719*E719</f>
        <v>12.8</v>
      </c>
    </row>
    <row r="720" customFormat="false" ht="16.5" hidden="false" customHeight="true" outlineLevel="0" collapsed="false">
      <c r="A720" s="45" t="n">
        <v>45726</v>
      </c>
      <c r="B720" s="28" t="s">
        <v>818</v>
      </c>
      <c r="C720" s="46" t="s">
        <v>109</v>
      </c>
      <c r="D720" s="46" t="s">
        <v>110</v>
      </c>
      <c r="E720" s="28" t="n">
        <v>4</v>
      </c>
      <c r="F720" s="47" t="n">
        <v>3.5</v>
      </c>
      <c r="G720" s="28" t="n">
        <v>0</v>
      </c>
      <c r="H720" s="28" t="n">
        <v>12</v>
      </c>
      <c r="I720" s="47" t="n">
        <f aca="false">E720*F720*(1-G720/100)*(1+H720/100)</f>
        <v>15.68</v>
      </c>
      <c r="J720" s="28" t="s">
        <v>32</v>
      </c>
      <c r="K720" s="28" t="s">
        <v>85</v>
      </c>
      <c r="L720" s="46" t="s">
        <v>106</v>
      </c>
      <c r="M720" s="47" t="n">
        <f aca="false">F720*(1-G720/100)-1.4</f>
        <v>2.1</v>
      </c>
      <c r="N720" s="47" t="n">
        <f aca="false">M720*E720</f>
        <v>8.4</v>
      </c>
    </row>
    <row r="721" customFormat="false" ht="16.5" hidden="false" customHeight="true" outlineLevel="0" collapsed="false">
      <c r="A721" s="42" t="n">
        <v>45726</v>
      </c>
      <c r="B721" s="24" t="s">
        <v>819</v>
      </c>
      <c r="C721" s="43" t="s">
        <v>27</v>
      </c>
      <c r="D721" s="43" t="s">
        <v>81</v>
      </c>
      <c r="E721" s="24" t="n">
        <v>4</v>
      </c>
      <c r="F721" s="44" t="n">
        <v>4.5</v>
      </c>
      <c r="G721" s="24" t="n">
        <v>0</v>
      </c>
      <c r="H721" s="24" t="n">
        <v>12</v>
      </c>
      <c r="I721" s="44" t="n">
        <f aca="false">E721*F721*(1-G721/100)*(1+H721/100)</f>
        <v>20.16</v>
      </c>
      <c r="J721" s="24" t="s">
        <v>24</v>
      </c>
      <c r="K721" s="24" t="s">
        <v>85</v>
      </c>
      <c r="L721" s="43" t="s">
        <v>94</v>
      </c>
      <c r="M721" s="44" t="n">
        <f aca="false">F721*(1-G721/100)-2.8</f>
        <v>1.7</v>
      </c>
      <c r="N721" s="44" t="n">
        <f aca="false">M721*E721</f>
        <v>6.8</v>
      </c>
    </row>
    <row r="722" customFormat="false" ht="16.5" hidden="false" customHeight="true" outlineLevel="0" collapsed="false">
      <c r="A722" s="45" t="n">
        <v>45726</v>
      </c>
      <c r="B722" s="28" t="s">
        <v>820</v>
      </c>
      <c r="C722" s="46" t="s">
        <v>25</v>
      </c>
      <c r="D722" s="46" t="s">
        <v>81</v>
      </c>
      <c r="E722" s="28" t="n">
        <v>5</v>
      </c>
      <c r="F722" s="47" t="n">
        <v>3.5</v>
      </c>
      <c r="G722" s="28" t="n">
        <v>10</v>
      </c>
      <c r="H722" s="28" t="n">
        <v>12</v>
      </c>
      <c r="I722" s="47" t="n">
        <f aca="false">E722*F722*(1-G722/100)*(1+H722/100)</f>
        <v>17.64</v>
      </c>
      <c r="J722" s="28" t="s">
        <v>24</v>
      </c>
      <c r="K722" s="28" t="s">
        <v>101</v>
      </c>
      <c r="L722" s="46" t="s">
        <v>89</v>
      </c>
      <c r="M722" s="47" t="n">
        <f aca="false">F722*(1-G722/100)-2.2</f>
        <v>0.95</v>
      </c>
      <c r="N722" s="47" t="n">
        <f aca="false">M722*E722</f>
        <v>4.75</v>
      </c>
    </row>
    <row r="723" customFormat="false" ht="16.5" hidden="false" customHeight="true" outlineLevel="0" collapsed="false">
      <c r="A723" s="42" t="n">
        <v>45726</v>
      </c>
      <c r="B723" s="24" t="s">
        <v>821</v>
      </c>
      <c r="C723" s="43" t="s">
        <v>109</v>
      </c>
      <c r="D723" s="43" t="s">
        <v>110</v>
      </c>
      <c r="E723" s="24" t="n">
        <v>3</v>
      </c>
      <c r="F723" s="44" t="n">
        <v>3.5</v>
      </c>
      <c r="G723" s="24" t="n">
        <v>10</v>
      </c>
      <c r="H723" s="24" t="n">
        <v>12</v>
      </c>
      <c r="I723" s="44" t="n">
        <f aca="false">E723*F723*(1-G723/100)*(1+H723/100)</f>
        <v>10.584</v>
      </c>
      <c r="J723" s="24" t="s">
        <v>34</v>
      </c>
      <c r="K723" s="24" t="s">
        <v>82</v>
      </c>
      <c r="L723" s="43" t="s">
        <v>111</v>
      </c>
      <c r="M723" s="44" t="n">
        <f aca="false">F723*(1-G723/100)-1.4</f>
        <v>1.75</v>
      </c>
      <c r="N723" s="44" t="n">
        <f aca="false">M723*E723</f>
        <v>5.25</v>
      </c>
    </row>
    <row r="724" customFormat="false" ht="16.5" hidden="false" customHeight="true" outlineLevel="0" collapsed="false">
      <c r="A724" s="45" t="n">
        <v>45726</v>
      </c>
      <c r="B724" s="28" t="s">
        <v>822</v>
      </c>
      <c r="C724" s="46" t="s">
        <v>36</v>
      </c>
      <c r="D724" s="46" t="s">
        <v>96</v>
      </c>
      <c r="E724" s="28" t="n">
        <v>3</v>
      </c>
      <c r="F724" s="47" t="n">
        <v>8.5</v>
      </c>
      <c r="G724" s="28" t="n">
        <v>0</v>
      </c>
      <c r="H724" s="28" t="n">
        <v>12</v>
      </c>
      <c r="I724" s="47" t="n">
        <f aca="false">E724*F724*(1-G724/100)*(1+H724/100)</f>
        <v>28.56</v>
      </c>
      <c r="J724" s="28" t="s">
        <v>26</v>
      </c>
      <c r="K724" s="28" t="s">
        <v>85</v>
      </c>
      <c r="L724" s="46" t="s">
        <v>106</v>
      </c>
      <c r="M724" s="47" t="n">
        <f aca="false">F724*(1-G724/100)-4.2</f>
        <v>4.3</v>
      </c>
      <c r="N724" s="47" t="n">
        <f aca="false">M724*E724</f>
        <v>12.9</v>
      </c>
    </row>
    <row r="725" customFormat="false" ht="16.5" hidden="false" customHeight="true" outlineLevel="0" collapsed="false">
      <c r="A725" s="42" t="n">
        <v>45726</v>
      </c>
      <c r="B725" s="24" t="s">
        <v>823</v>
      </c>
      <c r="C725" s="43" t="s">
        <v>124</v>
      </c>
      <c r="D725" s="43" t="s">
        <v>96</v>
      </c>
      <c r="E725" s="24" t="n">
        <v>5</v>
      </c>
      <c r="F725" s="44" t="n">
        <v>4</v>
      </c>
      <c r="G725" s="24" t="n">
        <v>10</v>
      </c>
      <c r="H725" s="24" t="n">
        <v>12</v>
      </c>
      <c r="I725" s="44" t="n">
        <f aca="false">E725*F725*(1-G725/100)*(1+H725/100)</f>
        <v>20.16</v>
      </c>
      <c r="J725" s="24" t="s">
        <v>32</v>
      </c>
      <c r="K725" s="24" t="s">
        <v>97</v>
      </c>
      <c r="L725" s="43" t="s">
        <v>111</v>
      </c>
      <c r="M725" s="44" t="n">
        <f aca="false">F725*(1-G725/100)-1.8</f>
        <v>1.8</v>
      </c>
      <c r="N725" s="44" t="n">
        <f aca="false">M725*E725</f>
        <v>9</v>
      </c>
    </row>
    <row r="726" customFormat="false" ht="16.5" hidden="false" customHeight="true" outlineLevel="0" collapsed="false">
      <c r="A726" s="45" t="n">
        <v>45726</v>
      </c>
      <c r="B726" s="28" t="s">
        <v>824</v>
      </c>
      <c r="C726" s="46" t="s">
        <v>27</v>
      </c>
      <c r="D726" s="46" t="s">
        <v>81</v>
      </c>
      <c r="E726" s="28" t="n">
        <v>1</v>
      </c>
      <c r="F726" s="47" t="n">
        <v>4.5</v>
      </c>
      <c r="G726" s="28" t="n">
        <v>0</v>
      </c>
      <c r="H726" s="28" t="n">
        <v>12</v>
      </c>
      <c r="I726" s="47" t="n">
        <f aca="false">E726*F726*(1-G726/100)*(1+H726/100)</f>
        <v>5.04</v>
      </c>
      <c r="J726" s="28" t="s">
        <v>24</v>
      </c>
      <c r="K726" s="28" t="s">
        <v>97</v>
      </c>
      <c r="L726" s="46" t="s">
        <v>106</v>
      </c>
      <c r="M726" s="47" t="n">
        <f aca="false">F726*(1-G726/100)-2.8</f>
        <v>1.7</v>
      </c>
      <c r="N726" s="47" t="n">
        <f aca="false">M726*E726</f>
        <v>1.7</v>
      </c>
    </row>
    <row r="727" customFormat="false" ht="16.5" hidden="false" customHeight="true" outlineLevel="0" collapsed="false">
      <c r="A727" s="42" t="n">
        <v>45726</v>
      </c>
      <c r="B727" s="24" t="s">
        <v>825</v>
      </c>
      <c r="C727" s="43" t="s">
        <v>35</v>
      </c>
      <c r="D727" s="43" t="s">
        <v>81</v>
      </c>
      <c r="E727" s="24" t="n">
        <v>5</v>
      </c>
      <c r="F727" s="44" t="n">
        <v>1.5</v>
      </c>
      <c r="G727" s="24" t="n">
        <v>10</v>
      </c>
      <c r="H727" s="24" t="n">
        <v>12</v>
      </c>
      <c r="I727" s="44" t="n">
        <f aca="false">E727*F727*(1-G727/100)*(1+H727/100)</f>
        <v>7.56</v>
      </c>
      <c r="J727" s="24" t="s">
        <v>28</v>
      </c>
      <c r="K727" s="24" t="s">
        <v>101</v>
      </c>
      <c r="L727" s="43" t="s">
        <v>86</v>
      </c>
      <c r="M727" s="44" t="n">
        <f aca="false">F727*(1-G727/100)-0.6</f>
        <v>0.75</v>
      </c>
      <c r="N727" s="44" t="n">
        <f aca="false">M727*E727</f>
        <v>3.75</v>
      </c>
    </row>
    <row r="728" customFormat="false" ht="16.5" hidden="false" customHeight="true" outlineLevel="0" collapsed="false">
      <c r="A728" s="45" t="n">
        <v>45726</v>
      </c>
      <c r="B728" s="28" t="s">
        <v>826</v>
      </c>
      <c r="C728" s="46" t="s">
        <v>29</v>
      </c>
      <c r="D728" s="46" t="s">
        <v>104</v>
      </c>
      <c r="E728" s="28" t="n">
        <v>4</v>
      </c>
      <c r="F728" s="47" t="n">
        <v>2.5</v>
      </c>
      <c r="G728" s="28" t="n">
        <v>0</v>
      </c>
      <c r="H728" s="28" t="n">
        <v>12</v>
      </c>
      <c r="I728" s="47" t="n">
        <f aca="false">E728*F728*(1-G728/100)*(1+H728/100)</f>
        <v>11.2</v>
      </c>
      <c r="J728" s="28" t="s">
        <v>32</v>
      </c>
      <c r="K728" s="28" t="s">
        <v>101</v>
      </c>
      <c r="L728" s="46" t="s">
        <v>122</v>
      </c>
      <c r="M728" s="47" t="n">
        <f aca="false">F728*(1-G728/100)-1.1</f>
        <v>1.4</v>
      </c>
      <c r="N728" s="47" t="n">
        <f aca="false">M728*E728</f>
        <v>5.6</v>
      </c>
    </row>
    <row r="729" customFormat="false" ht="16.5" hidden="false" customHeight="true" outlineLevel="0" collapsed="false">
      <c r="A729" s="42" t="n">
        <v>45726</v>
      </c>
      <c r="B729" s="24" t="s">
        <v>827</v>
      </c>
      <c r="C729" s="43" t="s">
        <v>109</v>
      </c>
      <c r="D729" s="43" t="s">
        <v>110</v>
      </c>
      <c r="E729" s="24" t="n">
        <v>2</v>
      </c>
      <c r="F729" s="44" t="n">
        <v>3.5</v>
      </c>
      <c r="G729" s="24" t="n">
        <v>0</v>
      </c>
      <c r="H729" s="24" t="n">
        <v>12</v>
      </c>
      <c r="I729" s="44" t="n">
        <f aca="false">E729*F729*(1-G729/100)*(1+H729/100)</f>
        <v>7.84</v>
      </c>
      <c r="J729" s="24" t="s">
        <v>24</v>
      </c>
      <c r="K729" s="24" t="s">
        <v>85</v>
      </c>
      <c r="L729" s="43" t="s">
        <v>91</v>
      </c>
      <c r="M729" s="44" t="n">
        <f aca="false">F729*(1-G729/100)-1.4</f>
        <v>2.1</v>
      </c>
      <c r="N729" s="44" t="n">
        <f aca="false">M729*E729</f>
        <v>4.2</v>
      </c>
    </row>
    <row r="730" customFormat="false" ht="16.5" hidden="false" customHeight="true" outlineLevel="0" collapsed="false">
      <c r="A730" s="45" t="n">
        <v>45726</v>
      </c>
      <c r="B730" s="28" t="s">
        <v>828</v>
      </c>
      <c r="C730" s="46" t="s">
        <v>93</v>
      </c>
      <c r="D730" s="46" t="s">
        <v>81</v>
      </c>
      <c r="E730" s="28" t="n">
        <v>2</v>
      </c>
      <c r="F730" s="47" t="n">
        <v>3</v>
      </c>
      <c r="G730" s="28" t="n">
        <v>0</v>
      </c>
      <c r="H730" s="28" t="n">
        <v>12</v>
      </c>
      <c r="I730" s="47" t="n">
        <f aca="false">E730*F730*(1-G730/100)*(1+H730/100)</f>
        <v>6.72</v>
      </c>
      <c r="J730" s="28" t="s">
        <v>24</v>
      </c>
      <c r="K730" s="28" t="s">
        <v>85</v>
      </c>
      <c r="L730" s="46" t="s">
        <v>86</v>
      </c>
      <c r="M730" s="47" t="n">
        <f aca="false">F730*(1-G730/100)-1.5</f>
        <v>1.5</v>
      </c>
      <c r="N730" s="47" t="n">
        <f aca="false">M730*E730</f>
        <v>3</v>
      </c>
    </row>
    <row r="731" customFormat="false" ht="16.5" hidden="false" customHeight="true" outlineLevel="0" collapsed="false">
      <c r="A731" s="42" t="n">
        <v>45726</v>
      </c>
      <c r="B731" s="24" t="s">
        <v>829</v>
      </c>
      <c r="C731" s="43" t="s">
        <v>109</v>
      </c>
      <c r="D731" s="43" t="s">
        <v>110</v>
      </c>
      <c r="E731" s="24" t="n">
        <v>1</v>
      </c>
      <c r="F731" s="44" t="n">
        <v>3.5</v>
      </c>
      <c r="G731" s="24" t="n">
        <v>5</v>
      </c>
      <c r="H731" s="24" t="n">
        <v>12</v>
      </c>
      <c r="I731" s="44" t="n">
        <f aca="false">E731*F731*(1-G731/100)*(1+H731/100)</f>
        <v>3.724</v>
      </c>
      <c r="J731" s="24" t="s">
        <v>32</v>
      </c>
      <c r="K731" s="24" t="s">
        <v>88</v>
      </c>
      <c r="L731" s="43" t="s">
        <v>117</v>
      </c>
      <c r="M731" s="44" t="n">
        <f aca="false">F731*(1-G731/100)-1.4</f>
        <v>1.925</v>
      </c>
      <c r="N731" s="44" t="n">
        <f aca="false">M731*E731</f>
        <v>1.925</v>
      </c>
    </row>
    <row r="732" customFormat="false" ht="16.5" hidden="false" customHeight="true" outlineLevel="0" collapsed="false">
      <c r="A732" s="45" t="n">
        <v>45727</v>
      </c>
      <c r="B732" s="28" t="s">
        <v>830</v>
      </c>
      <c r="C732" s="46" t="s">
        <v>93</v>
      </c>
      <c r="D732" s="46" t="s">
        <v>81</v>
      </c>
      <c r="E732" s="28" t="n">
        <v>1</v>
      </c>
      <c r="F732" s="47" t="n">
        <v>3</v>
      </c>
      <c r="G732" s="28" t="n">
        <v>10</v>
      </c>
      <c r="H732" s="28" t="n">
        <v>12</v>
      </c>
      <c r="I732" s="47" t="n">
        <f aca="false">E732*F732*(1-G732/100)*(1+H732/100)</f>
        <v>3.024</v>
      </c>
      <c r="J732" s="28" t="s">
        <v>24</v>
      </c>
      <c r="K732" s="28" t="s">
        <v>88</v>
      </c>
      <c r="L732" s="46" t="s">
        <v>94</v>
      </c>
      <c r="M732" s="47" t="n">
        <f aca="false">F732*(1-G732/100)-1.5</f>
        <v>1.2</v>
      </c>
      <c r="N732" s="47" t="n">
        <f aca="false">M732*E732</f>
        <v>1.2</v>
      </c>
    </row>
    <row r="733" customFormat="false" ht="16.5" hidden="false" customHeight="true" outlineLevel="0" collapsed="false">
      <c r="A733" s="42" t="n">
        <v>45727</v>
      </c>
      <c r="B733" s="24" t="s">
        <v>831</v>
      </c>
      <c r="C733" s="43" t="s">
        <v>109</v>
      </c>
      <c r="D733" s="43" t="s">
        <v>110</v>
      </c>
      <c r="E733" s="24" t="n">
        <v>4</v>
      </c>
      <c r="F733" s="44" t="n">
        <v>3.5</v>
      </c>
      <c r="G733" s="24" t="n">
        <v>10</v>
      </c>
      <c r="H733" s="24" t="n">
        <v>12</v>
      </c>
      <c r="I733" s="44" t="n">
        <f aca="false">E733*F733*(1-G733/100)*(1+H733/100)</f>
        <v>14.112</v>
      </c>
      <c r="J733" s="24" t="s">
        <v>26</v>
      </c>
      <c r="K733" s="24" t="s">
        <v>88</v>
      </c>
      <c r="L733" s="43" t="s">
        <v>83</v>
      </c>
      <c r="M733" s="44" t="n">
        <f aca="false">F733*(1-G733/100)-1.4</f>
        <v>1.75</v>
      </c>
      <c r="N733" s="44" t="n">
        <f aca="false">M733*E733</f>
        <v>7</v>
      </c>
    </row>
    <row r="734" customFormat="false" ht="16.5" hidden="false" customHeight="true" outlineLevel="0" collapsed="false">
      <c r="A734" s="45" t="n">
        <v>45727</v>
      </c>
      <c r="B734" s="28" t="s">
        <v>832</v>
      </c>
      <c r="C734" s="46" t="s">
        <v>29</v>
      </c>
      <c r="D734" s="46" t="s">
        <v>104</v>
      </c>
      <c r="E734" s="28" t="n">
        <v>1</v>
      </c>
      <c r="F734" s="47" t="n">
        <v>2.5</v>
      </c>
      <c r="G734" s="28" t="n">
        <v>5</v>
      </c>
      <c r="H734" s="28" t="n">
        <v>12</v>
      </c>
      <c r="I734" s="47" t="n">
        <f aca="false">E734*F734*(1-G734/100)*(1+H734/100)</f>
        <v>2.66</v>
      </c>
      <c r="J734" s="28" t="s">
        <v>34</v>
      </c>
      <c r="K734" s="28" t="s">
        <v>88</v>
      </c>
      <c r="L734" s="46" t="s">
        <v>106</v>
      </c>
      <c r="M734" s="47" t="n">
        <f aca="false">F734*(1-G734/100)-1.1</f>
        <v>1.275</v>
      </c>
      <c r="N734" s="47" t="n">
        <f aca="false">M734*E734</f>
        <v>1.275</v>
      </c>
    </row>
    <row r="735" customFormat="false" ht="16.5" hidden="false" customHeight="true" outlineLevel="0" collapsed="false">
      <c r="A735" s="42" t="n">
        <v>45727</v>
      </c>
      <c r="B735" s="24" t="s">
        <v>833</v>
      </c>
      <c r="C735" s="43" t="s">
        <v>124</v>
      </c>
      <c r="D735" s="43" t="s">
        <v>96</v>
      </c>
      <c r="E735" s="24" t="n">
        <v>4</v>
      </c>
      <c r="F735" s="44" t="n">
        <v>4</v>
      </c>
      <c r="G735" s="24" t="n">
        <v>5</v>
      </c>
      <c r="H735" s="24" t="n">
        <v>12</v>
      </c>
      <c r="I735" s="44" t="n">
        <f aca="false">E735*F735*(1-G735/100)*(1+H735/100)</f>
        <v>17.024</v>
      </c>
      <c r="J735" s="24" t="s">
        <v>34</v>
      </c>
      <c r="K735" s="24" t="s">
        <v>82</v>
      </c>
      <c r="L735" s="43" t="s">
        <v>122</v>
      </c>
      <c r="M735" s="44" t="n">
        <f aca="false">F735*(1-G735/100)-1.8</f>
        <v>2</v>
      </c>
      <c r="N735" s="44" t="n">
        <f aca="false">M735*E735</f>
        <v>8</v>
      </c>
    </row>
    <row r="736" customFormat="false" ht="16.5" hidden="false" customHeight="true" outlineLevel="0" collapsed="false">
      <c r="A736" s="45" t="n">
        <v>45727</v>
      </c>
      <c r="B736" s="28" t="s">
        <v>834</v>
      </c>
      <c r="C736" s="46" t="s">
        <v>113</v>
      </c>
      <c r="D736" s="46" t="s">
        <v>96</v>
      </c>
      <c r="E736" s="28" t="n">
        <v>3</v>
      </c>
      <c r="F736" s="47" t="n">
        <v>6</v>
      </c>
      <c r="G736" s="28" t="n">
        <v>0</v>
      </c>
      <c r="H736" s="28" t="n">
        <v>12</v>
      </c>
      <c r="I736" s="47" t="n">
        <f aca="false">E736*F736*(1-G736/100)*(1+H736/100)</f>
        <v>20.16</v>
      </c>
      <c r="J736" s="28" t="s">
        <v>32</v>
      </c>
      <c r="K736" s="28" t="s">
        <v>82</v>
      </c>
      <c r="L736" s="46" t="s">
        <v>83</v>
      </c>
      <c r="M736" s="47" t="n">
        <f aca="false">F736*(1-G736/100)-2.8</f>
        <v>3.2</v>
      </c>
      <c r="N736" s="47" t="n">
        <f aca="false">M736*E736</f>
        <v>9.6</v>
      </c>
    </row>
    <row r="737" customFormat="false" ht="16.5" hidden="false" customHeight="true" outlineLevel="0" collapsed="false">
      <c r="A737" s="42" t="n">
        <v>45727</v>
      </c>
      <c r="B737" s="24" t="s">
        <v>835</v>
      </c>
      <c r="C737" s="43" t="s">
        <v>113</v>
      </c>
      <c r="D737" s="43" t="s">
        <v>96</v>
      </c>
      <c r="E737" s="24" t="n">
        <v>5</v>
      </c>
      <c r="F737" s="44" t="n">
        <v>6</v>
      </c>
      <c r="G737" s="24" t="n">
        <v>10</v>
      </c>
      <c r="H737" s="24" t="n">
        <v>12</v>
      </c>
      <c r="I737" s="44" t="n">
        <f aca="false">E737*F737*(1-G737/100)*(1+H737/100)</f>
        <v>30.24</v>
      </c>
      <c r="J737" s="24" t="s">
        <v>28</v>
      </c>
      <c r="K737" s="24" t="s">
        <v>88</v>
      </c>
      <c r="L737" s="43" t="s">
        <v>106</v>
      </c>
      <c r="M737" s="44" t="n">
        <f aca="false">F737*(1-G737/100)-2.8</f>
        <v>2.6</v>
      </c>
      <c r="N737" s="44" t="n">
        <f aca="false">M737*E737</f>
        <v>13</v>
      </c>
    </row>
    <row r="738" customFormat="false" ht="16.5" hidden="false" customHeight="true" outlineLevel="0" collapsed="false">
      <c r="A738" s="45" t="n">
        <v>45727</v>
      </c>
      <c r="B738" s="28" t="s">
        <v>836</v>
      </c>
      <c r="C738" s="46" t="s">
        <v>124</v>
      </c>
      <c r="D738" s="46" t="s">
        <v>96</v>
      </c>
      <c r="E738" s="28" t="n">
        <v>2</v>
      </c>
      <c r="F738" s="47" t="n">
        <v>4</v>
      </c>
      <c r="G738" s="28" t="n">
        <v>0</v>
      </c>
      <c r="H738" s="28" t="n">
        <v>12</v>
      </c>
      <c r="I738" s="47" t="n">
        <f aca="false">E738*F738*(1-G738/100)*(1+H738/100)</f>
        <v>8.96</v>
      </c>
      <c r="J738" s="28" t="s">
        <v>26</v>
      </c>
      <c r="K738" s="28" t="s">
        <v>88</v>
      </c>
      <c r="L738" s="46" t="s">
        <v>122</v>
      </c>
      <c r="M738" s="47" t="n">
        <f aca="false">F738*(1-G738/100)-1.8</f>
        <v>2.2</v>
      </c>
      <c r="N738" s="47" t="n">
        <f aca="false">M738*E738</f>
        <v>4.4</v>
      </c>
    </row>
    <row r="739" customFormat="false" ht="16.5" hidden="false" customHeight="true" outlineLevel="0" collapsed="false">
      <c r="A739" s="42" t="n">
        <v>45728</v>
      </c>
      <c r="B739" s="24" t="s">
        <v>837</v>
      </c>
      <c r="C739" s="43" t="s">
        <v>36</v>
      </c>
      <c r="D739" s="43" t="s">
        <v>96</v>
      </c>
      <c r="E739" s="24" t="n">
        <v>2</v>
      </c>
      <c r="F739" s="44" t="n">
        <v>8.5</v>
      </c>
      <c r="G739" s="24" t="n">
        <v>0</v>
      </c>
      <c r="H739" s="24" t="n">
        <v>12</v>
      </c>
      <c r="I739" s="44" t="n">
        <f aca="false">E739*F739*(1-G739/100)*(1+H739/100)</f>
        <v>19.04</v>
      </c>
      <c r="J739" s="24" t="s">
        <v>34</v>
      </c>
      <c r="K739" s="24" t="s">
        <v>88</v>
      </c>
      <c r="L739" s="43" t="s">
        <v>106</v>
      </c>
      <c r="M739" s="44" t="n">
        <f aca="false">F739*(1-G739/100)-4.2</f>
        <v>4.3</v>
      </c>
      <c r="N739" s="44" t="n">
        <f aca="false">M739*E739</f>
        <v>8.6</v>
      </c>
    </row>
    <row r="740" customFormat="false" ht="16.5" hidden="false" customHeight="true" outlineLevel="0" collapsed="false">
      <c r="A740" s="45" t="n">
        <v>45728</v>
      </c>
      <c r="B740" s="28" t="s">
        <v>838</v>
      </c>
      <c r="C740" s="46" t="s">
        <v>27</v>
      </c>
      <c r="D740" s="46" t="s">
        <v>81</v>
      </c>
      <c r="E740" s="28" t="n">
        <v>3</v>
      </c>
      <c r="F740" s="47" t="n">
        <v>4.5</v>
      </c>
      <c r="G740" s="28" t="n">
        <v>10</v>
      </c>
      <c r="H740" s="28" t="n">
        <v>12</v>
      </c>
      <c r="I740" s="47" t="n">
        <f aca="false">E740*F740*(1-G740/100)*(1+H740/100)</f>
        <v>13.608</v>
      </c>
      <c r="J740" s="28" t="s">
        <v>32</v>
      </c>
      <c r="K740" s="28" t="s">
        <v>88</v>
      </c>
      <c r="L740" s="46" t="s">
        <v>89</v>
      </c>
      <c r="M740" s="47" t="n">
        <f aca="false">F740*(1-G740/100)-2.8</f>
        <v>1.25</v>
      </c>
      <c r="N740" s="47" t="n">
        <f aca="false">M740*E740</f>
        <v>3.75</v>
      </c>
    </row>
    <row r="741" customFormat="false" ht="16.5" hidden="false" customHeight="true" outlineLevel="0" collapsed="false">
      <c r="A741" s="42" t="n">
        <v>45728</v>
      </c>
      <c r="B741" s="24" t="s">
        <v>839</v>
      </c>
      <c r="C741" s="43" t="s">
        <v>113</v>
      </c>
      <c r="D741" s="43" t="s">
        <v>96</v>
      </c>
      <c r="E741" s="24" t="n">
        <v>5</v>
      </c>
      <c r="F741" s="44" t="n">
        <v>6</v>
      </c>
      <c r="G741" s="24" t="n">
        <v>0</v>
      </c>
      <c r="H741" s="24" t="n">
        <v>12</v>
      </c>
      <c r="I741" s="44" t="n">
        <f aca="false">E741*F741*(1-G741/100)*(1+H741/100)</f>
        <v>33.6</v>
      </c>
      <c r="J741" s="24" t="s">
        <v>32</v>
      </c>
      <c r="K741" s="24" t="s">
        <v>101</v>
      </c>
      <c r="L741" s="43" t="s">
        <v>117</v>
      </c>
      <c r="M741" s="44" t="n">
        <f aca="false">F741*(1-G741/100)-2.8</f>
        <v>3.2</v>
      </c>
      <c r="N741" s="44" t="n">
        <f aca="false">M741*E741</f>
        <v>16</v>
      </c>
    </row>
    <row r="742" customFormat="false" ht="16.5" hidden="false" customHeight="true" outlineLevel="0" collapsed="false">
      <c r="A742" s="45" t="n">
        <v>45728</v>
      </c>
      <c r="B742" s="28" t="s">
        <v>840</v>
      </c>
      <c r="C742" s="46" t="s">
        <v>27</v>
      </c>
      <c r="D742" s="46" t="s">
        <v>81</v>
      </c>
      <c r="E742" s="28" t="n">
        <v>1</v>
      </c>
      <c r="F742" s="47" t="n">
        <v>4.5</v>
      </c>
      <c r="G742" s="28" t="n">
        <v>5</v>
      </c>
      <c r="H742" s="28" t="n">
        <v>12</v>
      </c>
      <c r="I742" s="47" t="n">
        <f aca="false">E742*F742*(1-G742/100)*(1+H742/100)</f>
        <v>4.788</v>
      </c>
      <c r="J742" s="28" t="s">
        <v>26</v>
      </c>
      <c r="K742" s="28" t="s">
        <v>101</v>
      </c>
      <c r="L742" s="46" t="s">
        <v>86</v>
      </c>
      <c r="M742" s="47" t="n">
        <f aca="false">F742*(1-G742/100)-2.8</f>
        <v>1.475</v>
      </c>
      <c r="N742" s="47" t="n">
        <f aca="false">M742*E742</f>
        <v>1.475</v>
      </c>
    </row>
    <row r="743" customFormat="false" ht="16.5" hidden="false" customHeight="true" outlineLevel="0" collapsed="false">
      <c r="A743" s="42" t="n">
        <v>45728</v>
      </c>
      <c r="B743" s="24" t="s">
        <v>841</v>
      </c>
      <c r="C743" s="43" t="s">
        <v>33</v>
      </c>
      <c r="D743" s="43" t="s">
        <v>104</v>
      </c>
      <c r="E743" s="24" t="n">
        <v>3</v>
      </c>
      <c r="F743" s="44" t="n">
        <v>5</v>
      </c>
      <c r="G743" s="24" t="n">
        <v>0</v>
      </c>
      <c r="H743" s="24" t="n">
        <v>12</v>
      </c>
      <c r="I743" s="44" t="n">
        <f aca="false">E743*F743*(1-G743/100)*(1+H743/100)</f>
        <v>16.8</v>
      </c>
      <c r="J743" s="24" t="s">
        <v>28</v>
      </c>
      <c r="K743" s="24" t="s">
        <v>97</v>
      </c>
      <c r="L743" s="43" t="s">
        <v>83</v>
      </c>
      <c r="M743" s="44" t="n">
        <f aca="false">F743*(1-G743/100)-2.5</f>
        <v>2.5</v>
      </c>
      <c r="N743" s="44" t="n">
        <f aca="false">M743*E743</f>
        <v>7.5</v>
      </c>
    </row>
    <row r="744" customFormat="false" ht="16.5" hidden="false" customHeight="true" outlineLevel="0" collapsed="false">
      <c r="A744" s="45" t="n">
        <v>45728</v>
      </c>
      <c r="B744" s="28" t="s">
        <v>842</v>
      </c>
      <c r="C744" s="46" t="s">
        <v>25</v>
      </c>
      <c r="D744" s="46" t="s">
        <v>81</v>
      </c>
      <c r="E744" s="28" t="n">
        <v>3</v>
      </c>
      <c r="F744" s="47" t="n">
        <v>3.5</v>
      </c>
      <c r="G744" s="28" t="n">
        <v>0</v>
      </c>
      <c r="H744" s="28" t="n">
        <v>12</v>
      </c>
      <c r="I744" s="47" t="n">
        <f aca="false">E744*F744*(1-G744/100)*(1+H744/100)</f>
        <v>11.76</v>
      </c>
      <c r="J744" s="28" t="s">
        <v>34</v>
      </c>
      <c r="K744" s="28" t="s">
        <v>101</v>
      </c>
      <c r="L744" s="46" t="s">
        <v>106</v>
      </c>
      <c r="M744" s="47" t="n">
        <f aca="false">F744*(1-G744/100)-2.2</f>
        <v>1.3</v>
      </c>
      <c r="N744" s="47" t="n">
        <f aca="false">M744*E744</f>
        <v>3.9</v>
      </c>
    </row>
    <row r="745" customFormat="false" ht="16.5" hidden="false" customHeight="true" outlineLevel="0" collapsed="false">
      <c r="A745" s="42" t="n">
        <v>45728</v>
      </c>
      <c r="B745" s="24" t="s">
        <v>843</v>
      </c>
      <c r="C745" s="43" t="s">
        <v>93</v>
      </c>
      <c r="D745" s="43" t="s">
        <v>81</v>
      </c>
      <c r="E745" s="24" t="n">
        <v>1</v>
      </c>
      <c r="F745" s="44" t="n">
        <v>3</v>
      </c>
      <c r="G745" s="24" t="n">
        <v>10</v>
      </c>
      <c r="H745" s="24" t="n">
        <v>12</v>
      </c>
      <c r="I745" s="44" t="n">
        <f aca="false">E745*F745*(1-G745/100)*(1+H745/100)</f>
        <v>3.024</v>
      </c>
      <c r="J745" s="24" t="s">
        <v>34</v>
      </c>
      <c r="K745" s="24" t="s">
        <v>82</v>
      </c>
      <c r="L745" s="43" t="s">
        <v>117</v>
      </c>
      <c r="M745" s="44" t="n">
        <f aca="false">F745*(1-G745/100)-1.5</f>
        <v>1.2</v>
      </c>
      <c r="N745" s="44" t="n">
        <f aca="false">M745*E745</f>
        <v>1.2</v>
      </c>
    </row>
    <row r="746" customFormat="false" ht="16.5" hidden="false" customHeight="true" outlineLevel="0" collapsed="false">
      <c r="A746" s="45" t="n">
        <v>45728</v>
      </c>
      <c r="B746" s="28" t="s">
        <v>844</v>
      </c>
      <c r="C746" s="46" t="s">
        <v>113</v>
      </c>
      <c r="D746" s="46" t="s">
        <v>96</v>
      </c>
      <c r="E746" s="28" t="n">
        <v>2</v>
      </c>
      <c r="F746" s="47" t="n">
        <v>6</v>
      </c>
      <c r="G746" s="28" t="n">
        <v>10</v>
      </c>
      <c r="H746" s="28" t="n">
        <v>12</v>
      </c>
      <c r="I746" s="47" t="n">
        <f aca="false">E746*F746*(1-G746/100)*(1+H746/100)</f>
        <v>12.096</v>
      </c>
      <c r="J746" s="28" t="s">
        <v>28</v>
      </c>
      <c r="K746" s="28" t="s">
        <v>101</v>
      </c>
      <c r="L746" s="46" t="s">
        <v>94</v>
      </c>
      <c r="M746" s="47" t="n">
        <f aca="false">F746*(1-G746/100)-2.8</f>
        <v>2.6</v>
      </c>
      <c r="N746" s="47" t="n">
        <f aca="false">M746*E746</f>
        <v>5.2</v>
      </c>
    </row>
    <row r="747" customFormat="false" ht="16.5" hidden="false" customHeight="true" outlineLevel="0" collapsed="false">
      <c r="A747" s="42" t="n">
        <v>45728</v>
      </c>
      <c r="B747" s="24" t="s">
        <v>845</v>
      </c>
      <c r="C747" s="43" t="s">
        <v>113</v>
      </c>
      <c r="D747" s="43" t="s">
        <v>96</v>
      </c>
      <c r="E747" s="24" t="n">
        <v>4</v>
      </c>
      <c r="F747" s="44" t="n">
        <v>6</v>
      </c>
      <c r="G747" s="24" t="n">
        <v>0</v>
      </c>
      <c r="H747" s="24" t="n">
        <v>12</v>
      </c>
      <c r="I747" s="44" t="n">
        <f aca="false">E747*F747*(1-G747/100)*(1+H747/100)</f>
        <v>26.88</v>
      </c>
      <c r="J747" s="24" t="s">
        <v>34</v>
      </c>
      <c r="K747" s="24" t="s">
        <v>101</v>
      </c>
      <c r="L747" s="43" t="s">
        <v>86</v>
      </c>
      <c r="M747" s="44" t="n">
        <f aca="false">F747*(1-G747/100)-2.8</f>
        <v>3.2</v>
      </c>
      <c r="N747" s="44" t="n">
        <f aca="false">M747*E747</f>
        <v>12.8</v>
      </c>
    </row>
    <row r="748" customFormat="false" ht="16.5" hidden="false" customHeight="true" outlineLevel="0" collapsed="false">
      <c r="A748" s="45" t="n">
        <v>45728</v>
      </c>
      <c r="B748" s="28" t="s">
        <v>846</v>
      </c>
      <c r="C748" s="46" t="s">
        <v>35</v>
      </c>
      <c r="D748" s="46" t="s">
        <v>81</v>
      </c>
      <c r="E748" s="28" t="n">
        <v>2</v>
      </c>
      <c r="F748" s="47" t="n">
        <v>1.5</v>
      </c>
      <c r="G748" s="28" t="n">
        <v>10</v>
      </c>
      <c r="H748" s="28" t="n">
        <v>12</v>
      </c>
      <c r="I748" s="47" t="n">
        <f aca="false">E748*F748*(1-G748/100)*(1+H748/100)</f>
        <v>3.024</v>
      </c>
      <c r="J748" s="28" t="s">
        <v>32</v>
      </c>
      <c r="K748" s="28" t="s">
        <v>82</v>
      </c>
      <c r="L748" s="46" t="s">
        <v>106</v>
      </c>
      <c r="M748" s="47" t="n">
        <f aca="false">F748*(1-G748/100)-0.6</f>
        <v>0.75</v>
      </c>
      <c r="N748" s="47" t="n">
        <f aca="false">M748*E748</f>
        <v>1.5</v>
      </c>
    </row>
    <row r="749" customFormat="false" ht="16.5" hidden="false" customHeight="true" outlineLevel="0" collapsed="false">
      <c r="A749" s="42" t="n">
        <v>45728</v>
      </c>
      <c r="B749" s="24" t="s">
        <v>847</v>
      </c>
      <c r="C749" s="43" t="s">
        <v>109</v>
      </c>
      <c r="D749" s="43" t="s">
        <v>110</v>
      </c>
      <c r="E749" s="24" t="n">
        <v>5</v>
      </c>
      <c r="F749" s="44" t="n">
        <v>3.5</v>
      </c>
      <c r="G749" s="24" t="n">
        <v>10</v>
      </c>
      <c r="H749" s="24" t="n">
        <v>12</v>
      </c>
      <c r="I749" s="44" t="n">
        <f aca="false">E749*F749*(1-G749/100)*(1+H749/100)</f>
        <v>17.64</v>
      </c>
      <c r="J749" s="24" t="s">
        <v>26</v>
      </c>
      <c r="K749" s="24" t="s">
        <v>82</v>
      </c>
      <c r="L749" s="43" t="s">
        <v>122</v>
      </c>
      <c r="M749" s="44" t="n">
        <f aca="false">F749*(1-G749/100)-1.4</f>
        <v>1.75</v>
      </c>
      <c r="N749" s="44" t="n">
        <f aca="false">M749*E749</f>
        <v>8.75</v>
      </c>
    </row>
    <row r="750" customFormat="false" ht="16.5" hidden="false" customHeight="true" outlineLevel="0" collapsed="false">
      <c r="A750" s="45" t="n">
        <v>45728</v>
      </c>
      <c r="B750" s="28" t="s">
        <v>848</v>
      </c>
      <c r="C750" s="46" t="s">
        <v>93</v>
      </c>
      <c r="D750" s="46" t="s">
        <v>81</v>
      </c>
      <c r="E750" s="28" t="n">
        <v>2</v>
      </c>
      <c r="F750" s="47" t="n">
        <v>3</v>
      </c>
      <c r="G750" s="28" t="n">
        <v>0</v>
      </c>
      <c r="H750" s="28" t="n">
        <v>12</v>
      </c>
      <c r="I750" s="47" t="n">
        <f aca="false">E750*F750*(1-G750/100)*(1+H750/100)</f>
        <v>6.72</v>
      </c>
      <c r="J750" s="28" t="s">
        <v>26</v>
      </c>
      <c r="K750" s="28" t="s">
        <v>82</v>
      </c>
      <c r="L750" s="46" t="s">
        <v>117</v>
      </c>
      <c r="M750" s="47" t="n">
        <f aca="false">F750*(1-G750/100)-1.5</f>
        <v>1.5</v>
      </c>
      <c r="N750" s="47" t="n">
        <f aca="false">M750*E750</f>
        <v>3</v>
      </c>
    </row>
    <row r="751" customFormat="false" ht="16.5" hidden="false" customHeight="true" outlineLevel="0" collapsed="false">
      <c r="A751" s="42" t="n">
        <v>45728</v>
      </c>
      <c r="B751" s="24" t="s">
        <v>849</v>
      </c>
      <c r="C751" s="43" t="s">
        <v>27</v>
      </c>
      <c r="D751" s="43" t="s">
        <v>81</v>
      </c>
      <c r="E751" s="24" t="n">
        <v>4</v>
      </c>
      <c r="F751" s="44" t="n">
        <v>4.5</v>
      </c>
      <c r="G751" s="24" t="n">
        <v>0</v>
      </c>
      <c r="H751" s="24" t="n">
        <v>12</v>
      </c>
      <c r="I751" s="44" t="n">
        <f aca="false">E751*F751*(1-G751/100)*(1+H751/100)</f>
        <v>20.16</v>
      </c>
      <c r="J751" s="24" t="s">
        <v>32</v>
      </c>
      <c r="K751" s="24" t="s">
        <v>97</v>
      </c>
      <c r="L751" s="43" t="s">
        <v>117</v>
      </c>
      <c r="M751" s="44" t="n">
        <f aca="false">F751*(1-G751/100)-2.8</f>
        <v>1.7</v>
      </c>
      <c r="N751" s="44" t="n">
        <f aca="false">M751*E751</f>
        <v>6.8</v>
      </c>
    </row>
    <row r="752" customFormat="false" ht="16.5" hidden="false" customHeight="true" outlineLevel="0" collapsed="false">
      <c r="A752" s="45" t="n">
        <v>45728</v>
      </c>
      <c r="B752" s="28" t="s">
        <v>850</v>
      </c>
      <c r="C752" s="46" t="s">
        <v>35</v>
      </c>
      <c r="D752" s="46" t="s">
        <v>81</v>
      </c>
      <c r="E752" s="28" t="n">
        <v>2</v>
      </c>
      <c r="F752" s="47" t="n">
        <v>1.5</v>
      </c>
      <c r="G752" s="28" t="n">
        <v>0</v>
      </c>
      <c r="H752" s="28" t="n">
        <v>12</v>
      </c>
      <c r="I752" s="47" t="n">
        <f aca="false">E752*F752*(1-G752/100)*(1+H752/100)</f>
        <v>3.36</v>
      </c>
      <c r="J752" s="28" t="s">
        <v>34</v>
      </c>
      <c r="K752" s="28" t="s">
        <v>97</v>
      </c>
      <c r="L752" s="46" t="s">
        <v>86</v>
      </c>
      <c r="M752" s="47" t="n">
        <f aca="false">F752*(1-G752/100)-0.6</f>
        <v>0.9</v>
      </c>
      <c r="N752" s="47" t="n">
        <f aca="false">M752*E752</f>
        <v>1.8</v>
      </c>
    </row>
    <row r="753" customFormat="false" ht="16.5" hidden="false" customHeight="true" outlineLevel="0" collapsed="false">
      <c r="A753" s="42" t="n">
        <v>45728</v>
      </c>
      <c r="B753" s="24" t="s">
        <v>851</v>
      </c>
      <c r="C753" s="43" t="s">
        <v>36</v>
      </c>
      <c r="D753" s="43" t="s">
        <v>96</v>
      </c>
      <c r="E753" s="24" t="n">
        <v>4</v>
      </c>
      <c r="F753" s="44" t="n">
        <v>8.5</v>
      </c>
      <c r="G753" s="24" t="n">
        <v>0</v>
      </c>
      <c r="H753" s="24" t="n">
        <v>12</v>
      </c>
      <c r="I753" s="44" t="n">
        <f aca="false">E753*F753*(1-G753/100)*(1+H753/100)</f>
        <v>38.08</v>
      </c>
      <c r="J753" s="24" t="s">
        <v>24</v>
      </c>
      <c r="K753" s="24" t="s">
        <v>82</v>
      </c>
      <c r="L753" s="43" t="s">
        <v>106</v>
      </c>
      <c r="M753" s="44" t="n">
        <f aca="false">F753*(1-G753/100)-4.2</f>
        <v>4.3</v>
      </c>
      <c r="N753" s="44" t="n">
        <f aca="false">M753*E753</f>
        <v>17.2</v>
      </c>
    </row>
    <row r="754" customFormat="false" ht="16.5" hidden="false" customHeight="true" outlineLevel="0" collapsed="false">
      <c r="A754" s="45" t="n">
        <v>45729</v>
      </c>
      <c r="B754" s="28" t="s">
        <v>852</v>
      </c>
      <c r="C754" s="46" t="s">
        <v>25</v>
      </c>
      <c r="D754" s="46" t="s">
        <v>81</v>
      </c>
      <c r="E754" s="28" t="n">
        <v>5</v>
      </c>
      <c r="F754" s="47" t="n">
        <v>3.5</v>
      </c>
      <c r="G754" s="28" t="n">
        <v>0</v>
      </c>
      <c r="H754" s="28" t="n">
        <v>12</v>
      </c>
      <c r="I754" s="47" t="n">
        <f aca="false">E754*F754*(1-G754/100)*(1+H754/100)</f>
        <v>19.6</v>
      </c>
      <c r="J754" s="28" t="s">
        <v>32</v>
      </c>
      <c r="K754" s="28" t="s">
        <v>88</v>
      </c>
      <c r="L754" s="46" t="s">
        <v>117</v>
      </c>
      <c r="M754" s="47" t="n">
        <f aca="false">F754*(1-G754/100)-2.2</f>
        <v>1.3</v>
      </c>
      <c r="N754" s="47" t="n">
        <f aca="false">M754*E754</f>
        <v>6.5</v>
      </c>
    </row>
    <row r="755" customFormat="false" ht="16.5" hidden="false" customHeight="true" outlineLevel="0" collapsed="false">
      <c r="A755" s="42" t="n">
        <v>45729</v>
      </c>
      <c r="B755" s="24" t="s">
        <v>853</v>
      </c>
      <c r="C755" s="43" t="s">
        <v>36</v>
      </c>
      <c r="D755" s="43" t="s">
        <v>96</v>
      </c>
      <c r="E755" s="24" t="n">
        <v>1</v>
      </c>
      <c r="F755" s="44" t="n">
        <v>8.5</v>
      </c>
      <c r="G755" s="24" t="n">
        <v>0</v>
      </c>
      <c r="H755" s="24" t="n">
        <v>12</v>
      </c>
      <c r="I755" s="44" t="n">
        <f aca="false">E755*F755*(1-G755/100)*(1+H755/100)</f>
        <v>9.52</v>
      </c>
      <c r="J755" s="24" t="s">
        <v>34</v>
      </c>
      <c r="K755" s="24" t="s">
        <v>82</v>
      </c>
      <c r="L755" s="43" t="s">
        <v>83</v>
      </c>
      <c r="M755" s="44" t="n">
        <f aca="false">F755*(1-G755/100)-4.2</f>
        <v>4.3</v>
      </c>
      <c r="N755" s="44" t="n">
        <f aca="false">M755*E755</f>
        <v>4.3</v>
      </c>
    </row>
    <row r="756" customFormat="false" ht="16.5" hidden="false" customHeight="true" outlineLevel="0" collapsed="false">
      <c r="A756" s="45" t="n">
        <v>45729</v>
      </c>
      <c r="B756" s="28" t="s">
        <v>854</v>
      </c>
      <c r="C756" s="46" t="s">
        <v>124</v>
      </c>
      <c r="D756" s="46" t="s">
        <v>96</v>
      </c>
      <c r="E756" s="28" t="n">
        <v>1</v>
      </c>
      <c r="F756" s="47" t="n">
        <v>4</v>
      </c>
      <c r="G756" s="28" t="n">
        <v>10</v>
      </c>
      <c r="H756" s="28" t="n">
        <v>12</v>
      </c>
      <c r="I756" s="47" t="n">
        <f aca="false">E756*F756*(1-G756/100)*(1+H756/100)</f>
        <v>4.032</v>
      </c>
      <c r="J756" s="28" t="s">
        <v>26</v>
      </c>
      <c r="K756" s="28" t="s">
        <v>85</v>
      </c>
      <c r="L756" s="46" t="s">
        <v>117</v>
      </c>
      <c r="M756" s="47" t="n">
        <f aca="false">F756*(1-G756/100)-1.8</f>
        <v>1.8</v>
      </c>
      <c r="N756" s="47" t="n">
        <f aca="false">M756*E756</f>
        <v>1.8</v>
      </c>
    </row>
    <row r="757" customFormat="false" ht="16.5" hidden="false" customHeight="true" outlineLevel="0" collapsed="false">
      <c r="A757" s="42" t="n">
        <v>45729</v>
      </c>
      <c r="B757" s="24" t="s">
        <v>855</v>
      </c>
      <c r="C757" s="43" t="s">
        <v>124</v>
      </c>
      <c r="D757" s="43" t="s">
        <v>96</v>
      </c>
      <c r="E757" s="24" t="n">
        <v>4</v>
      </c>
      <c r="F757" s="44" t="n">
        <v>4</v>
      </c>
      <c r="G757" s="24" t="n">
        <v>0</v>
      </c>
      <c r="H757" s="24" t="n">
        <v>12</v>
      </c>
      <c r="I757" s="44" t="n">
        <f aca="false">E757*F757*(1-G757/100)*(1+H757/100)</f>
        <v>17.92</v>
      </c>
      <c r="J757" s="24" t="s">
        <v>28</v>
      </c>
      <c r="K757" s="24" t="s">
        <v>82</v>
      </c>
      <c r="L757" s="43" t="s">
        <v>91</v>
      </c>
      <c r="M757" s="44" t="n">
        <f aca="false">F757*(1-G757/100)-1.8</f>
        <v>2.2</v>
      </c>
      <c r="N757" s="44" t="n">
        <f aca="false">M757*E757</f>
        <v>8.8</v>
      </c>
    </row>
    <row r="758" customFormat="false" ht="16.5" hidden="false" customHeight="true" outlineLevel="0" collapsed="false">
      <c r="A758" s="45" t="n">
        <v>45729</v>
      </c>
      <c r="B758" s="28" t="s">
        <v>856</v>
      </c>
      <c r="C758" s="46" t="s">
        <v>36</v>
      </c>
      <c r="D758" s="46" t="s">
        <v>96</v>
      </c>
      <c r="E758" s="28" t="n">
        <v>3</v>
      </c>
      <c r="F758" s="47" t="n">
        <v>8.5</v>
      </c>
      <c r="G758" s="28" t="n">
        <v>0</v>
      </c>
      <c r="H758" s="28" t="n">
        <v>12</v>
      </c>
      <c r="I758" s="47" t="n">
        <f aca="false">E758*F758*(1-G758/100)*(1+H758/100)</f>
        <v>28.56</v>
      </c>
      <c r="J758" s="28" t="s">
        <v>28</v>
      </c>
      <c r="K758" s="28" t="s">
        <v>82</v>
      </c>
      <c r="L758" s="46" t="s">
        <v>89</v>
      </c>
      <c r="M758" s="47" t="n">
        <f aca="false">F758*(1-G758/100)-4.2</f>
        <v>4.3</v>
      </c>
      <c r="N758" s="47" t="n">
        <f aca="false">M758*E758</f>
        <v>12.9</v>
      </c>
    </row>
    <row r="759" customFormat="false" ht="16.5" hidden="false" customHeight="true" outlineLevel="0" collapsed="false">
      <c r="A759" s="42" t="n">
        <v>45729</v>
      </c>
      <c r="B759" s="24" t="s">
        <v>857</v>
      </c>
      <c r="C759" s="43" t="s">
        <v>124</v>
      </c>
      <c r="D759" s="43" t="s">
        <v>96</v>
      </c>
      <c r="E759" s="24" t="n">
        <v>4</v>
      </c>
      <c r="F759" s="44" t="n">
        <v>4</v>
      </c>
      <c r="G759" s="24" t="n">
        <v>10</v>
      </c>
      <c r="H759" s="24" t="n">
        <v>12</v>
      </c>
      <c r="I759" s="44" t="n">
        <f aca="false">E759*F759*(1-G759/100)*(1+H759/100)</f>
        <v>16.128</v>
      </c>
      <c r="J759" s="24" t="s">
        <v>24</v>
      </c>
      <c r="K759" s="24" t="s">
        <v>101</v>
      </c>
      <c r="L759" s="43" t="s">
        <v>106</v>
      </c>
      <c r="M759" s="44" t="n">
        <f aca="false">F759*(1-G759/100)-1.8</f>
        <v>1.8</v>
      </c>
      <c r="N759" s="44" t="n">
        <f aca="false">M759*E759</f>
        <v>7.2</v>
      </c>
    </row>
    <row r="760" customFormat="false" ht="16.5" hidden="false" customHeight="true" outlineLevel="0" collapsed="false">
      <c r="A760" s="45" t="n">
        <v>45729</v>
      </c>
      <c r="B760" s="28" t="s">
        <v>858</v>
      </c>
      <c r="C760" s="46" t="s">
        <v>93</v>
      </c>
      <c r="D760" s="46" t="s">
        <v>81</v>
      </c>
      <c r="E760" s="28" t="n">
        <v>2</v>
      </c>
      <c r="F760" s="47" t="n">
        <v>3</v>
      </c>
      <c r="G760" s="28" t="n">
        <v>10</v>
      </c>
      <c r="H760" s="28" t="n">
        <v>12</v>
      </c>
      <c r="I760" s="47" t="n">
        <f aca="false">E760*F760*(1-G760/100)*(1+H760/100)</f>
        <v>6.048</v>
      </c>
      <c r="J760" s="28" t="s">
        <v>34</v>
      </c>
      <c r="K760" s="28" t="s">
        <v>82</v>
      </c>
      <c r="L760" s="46" t="s">
        <v>86</v>
      </c>
      <c r="M760" s="47" t="n">
        <f aca="false">F760*(1-G760/100)-1.5</f>
        <v>1.2</v>
      </c>
      <c r="N760" s="47" t="n">
        <f aca="false">M760*E760</f>
        <v>2.4</v>
      </c>
    </row>
    <row r="761" customFormat="false" ht="16.5" hidden="false" customHeight="true" outlineLevel="0" collapsed="false">
      <c r="A761" s="42" t="n">
        <v>45729</v>
      </c>
      <c r="B761" s="24" t="s">
        <v>859</v>
      </c>
      <c r="C761" s="43" t="s">
        <v>36</v>
      </c>
      <c r="D761" s="43" t="s">
        <v>96</v>
      </c>
      <c r="E761" s="24" t="n">
        <v>4</v>
      </c>
      <c r="F761" s="44" t="n">
        <v>8.5</v>
      </c>
      <c r="G761" s="24" t="n">
        <v>0</v>
      </c>
      <c r="H761" s="24" t="n">
        <v>12</v>
      </c>
      <c r="I761" s="44" t="n">
        <f aca="false">E761*F761*(1-G761/100)*(1+H761/100)</f>
        <v>38.08</v>
      </c>
      <c r="J761" s="24" t="s">
        <v>32</v>
      </c>
      <c r="K761" s="24" t="s">
        <v>97</v>
      </c>
      <c r="L761" s="43" t="s">
        <v>117</v>
      </c>
      <c r="M761" s="44" t="n">
        <f aca="false">F761*(1-G761/100)-4.2</f>
        <v>4.3</v>
      </c>
      <c r="N761" s="44" t="n">
        <f aca="false">M761*E761</f>
        <v>17.2</v>
      </c>
    </row>
    <row r="762" customFormat="false" ht="16.5" hidden="false" customHeight="true" outlineLevel="0" collapsed="false">
      <c r="A762" s="45" t="n">
        <v>45729</v>
      </c>
      <c r="B762" s="28" t="s">
        <v>860</v>
      </c>
      <c r="C762" s="46" t="s">
        <v>35</v>
      </c>
      <c r="D762" s="46" t="s">
        <v>81</v>
      </c>
      <c r="E762" s="28" t="n">
        <v>1</v>
      </c>
      <c r="F762" s="47" t="n">
        <v>1.5</v>
      </c>
      <c r="G762" s="28" t="n">
        <v>10</v>
      </c>
      <c r="H762" s="28" t="n">
        <v>12</v>
      </c>
      <c r="I762" s="47" t="n">
        <f aca="false">E762*F762*(1-G762/100)*(1+H762/100)</f>
        <v>1.512</v>
      </c>
      <c r="J762" s="28" t="s">
        <v>28</v>
      </c>
      <c r="K762" s="28" t="s">
        <v>88</v>
      </c>
      <c r="L762" s="46" t="s">
        <v>117</v>
      </c>
      <c r="M762" s="47" t="n">
        <f aca="false">F762*(1-G762/100)-0.6</f>
        <v>0.75</v>
      </c>
      <c r="N762" s="47" t="n">
        <f aca="false">M762*E762</f>
        <v>0.75</v>
      </c>
    </row>
    <row r="763" customFormat="false" ht="16.5" hidden="false" customHeight="true" outlineLevel="0" collapsed="false">
      <c r="A763" s="42" t="n">
        <v>45729</v>
      </c>
      <c r="B763" s="24" t="s">
        <v>861</v>
      </c>
      <c r="C763" s="43" t="s">
        <v>93</v>
      </c>
      <c r="D763" s="43" t="s">
        <v>81</v>
      </c>
      <c r="E763" s="24" t="n">
        <v>4</v>
      </c>
      <c r="F763" s="44" t="n">
        <v>3</v>
      </c>
      <c r="G763" s="24" t="n">
        <v>0</v>
      </c>
      <c r="H763" s="24" t="n">
        <v>12</v>
      </c>
      <c r="I763" s="44" t="n">
        <f aca="false">E763*F763*(1-G763/100)*(1+H763/100)</f>
        <v>13.44</v>
      </c>
      <c r="J763" s="24" t="s">
        <v>28</v>
      </c>
      <c r="K763" s="24" t="s">
        <v>82</v>
      </c>
      <c r="L763" s="43" t="s">
        <v>106</v>
      </c>
      <c r="M763" s="44" t="n">
        <f aca="false">F763*(1-G763/100)-1.5</f>
        <v>1.5</v>
      </c>
      <c r="N763" s="44" t="n">
        <f aca="false">M763*E763</f>
        <v>6</v>
      </c>
    </row>
    <row r="764" customFormat="false" ht="16.5" hidden="false" customHeight="true" outlineLevel="0" collapsed="false">
      <c r="A764" s="45" t="n">
        <v>45729</v>
      </c>
      <c r="B764" s="28" t="s">
        <v>862</v>
      </c>
      <c r="C764" s="46" t="s">
        <v>124</v>
      </c>
      <c r="D764" s="46" t="s">
        <v>96</v>
      </c>
      <c r="E764" s="28" t="n">
        <v>1</v>
      </c>
      <c r="F764" s="47" t="n">
        <v>4</v>
      </c>
      <c r="G764" s="28" t="n">
        <v>0</v>
      </c>
      <c r="H764" s="28" t="n">
        <v>12</v>
      </c>
      <c r="I764" s="47" t="n">
        <f aca="false">E764*F764*(1-G764/100)*(1+H764/100)</f>
        <v>4.48</v>
      </c>
      <c r="J764" s="28" t="s">
        <v>26</v>
      </c>
      <c r="K764" s="28" t="s">
        <v>88</v>
      </c>
      <c r="L764" s="46" t="s">
        <v>117</v>
      </c>
      <c r="M764" s="47" t="n">
        <f aca="false">F764*(1-G764/100)-1.8</f>
        <v>2.2</v>
      </c>
      <c r="N764" s="47" t="n">
        <f aca="false">M764*E764</f>
        <v>2.2</v>
      </c>
    </row>
    <row r="765" customFormat="false" ht="16.5" hidden="false" customHeight="true" outlineLevel="0" collapsed="false">
      <c r="A765" s="42" t="n">
        <v>45729</v>
      </c>
      <c r="B765" s="24" t="s">
        <v>863</v>
      </c>
      <c r="C765" s="43" t="s">
        <v>25</v>
      </c>
      <c r="D765" s="43" t="s">
        <v>81</v>
      </c>
      <c r="E765" s="24" t="n">
        <v>1</v>
      </c>
      <c r="F765" s="44" t="n">
        <v>3.5</v>
      </c>
      <c r="G765" s="24" t="n">
        <v>0</v>
      </c>
      <c r="H765" s="24" t="n">
        <v>12</v>
      </c>
      <c r="I765" s="44" t="n">
        <f aca="false">E765*F765*(1-G765/100)*(1+H765/100)</f>
        <v>3.92</v>
      </c>
      <c r="J765" s="24" t="s">
        <v>26</v>
      </c>
      <c r="K765" s="24" t="s">
        <v>85</v>
      </c>
      <c r="L765" s="43" t="s">
        <v>98</v>
      </c>
      <c r="M765" s="44" t="n">
        <f aca="false">F765*(1-G765/100)-2.2</f>
        <v>1.3</v>
      </c>
      <c r="N765" s="44" t="n">
        <f aca="false">M765*E765</f>
        <v>1.3</v>
      </c>
    </row>
    <row r="766" customFormat="false" ht="16.5" hidden="false" customHeight="true" outlineLevel="0" collapsed="false">
      <c r="A766" s="45" t="n">
        <v>45729</v>
      </c>
      <c r="B766" s="28" t="s">
        <v>864</v>
      </c>
      <c r="C766" s="46" t="s">
        <v>33</v>
      </c>
      <c r="D766" s="46" t="s">
        <v>104</v>
      </c>
      <c r="E766" s="28" t="n">
        <v>5</v>
      </c>
      <c r="F766" s="47" t="n">
        <v>5</v>
      </c>
      <c r="G766" s="28" t="n">
        <v>5</v>
      </c>
      <c r="H766" s="28" t="n">
        <v>12</v>
      </c>
      <c r="I766" s="47" t="n">
        <f aca="false">E766*F766*(1-G766/100)*(1+H766/100)</f>
        <v>26.6</v>
      </c>
      <c r="J766" s="28" t="s">
        <v>24</v>
      </c>
      <c r="K766" s="28" t="s">
        <v>82</v>
      </c>
      <c r="L766" s="46" t="s">
        <v>86</v>
      </c>
      <c r="M766" s="47" t="n">
        <f aca="false">F766*(1-G766/100)-2.5</f>
        <v>2.25</v>
      </c>
      <c r="N766" s="47" t="n">
        <f aca="false">M766*E766</f>
        <v>11.25</v>
      </c>
    </row>
    <row r="767" customFormat="false" ht="16.5" hidden="false" customHeight="true" outlineLevel="0" collapsed="false">
      <c r="A767" s="42" t="n">
        <v>45729</v>
      </c>
      <c r="B767" s="24" t="s">
        <v>865</v>
      </c>
      <c r="C767" s="43" t="s">
        <v>93</v>
      </c>
      <c r="D767" s="43" t="s">
        <v>81</v>
      </c>
      <c r="E767" s="24" t="n">
        <v>3</v>
      </c>
      <c r="F767" s="44" t="n">
        <v>3</v>
      </c>
      <c r="G767" s="24" t="n">
        <v>0</v>
      </c>
      <c r="H767" s="24" t="n">
        <v>12</v>
      </c>
      <c r="I767" s="44" t="n">
        <f aca="false">E767*F767*(1-G767/100)*(1+H767/100)</f>
        <v>10.08</v>
      </c>
      <c r="J767" s="24" t="s">
        <v>24</v>
      </c>
      <c r="K767" s="24" t="s">
        <v>101</v>
      </c>
      <c r="L767" s="43" t="s">
        <v>86</v>
      </c>
      <c r="M767" s="44" t="n">
        <f aca="false">F767*(1-G767/100)-1.5</f>
        <v>1.5</v>
      </c>
      <c r="N767" s="44" t="n">
        <f aca="false">M767*E767</f>
        <v>4.5</v>
      </c>
    </row>
    <row r="768" customFormat="false" ht="16.5" hidden="false" customHeight="true" outlineLevel="0" collapsed="false">
      <c r="A768" s="45" t="n">
        <v>45730</v>
      </c>
      <c r="B768" s="28" t="s">
        <v>866</v>
      </c>
      <c r="C768" s="46" t="s">
        <v>35</v>
      </c>
      <c r="D768" s="46" t="s">
        <v>81</v>
      </c>
      <c r="E768" s="28" t="n">
        <v>5</v>
      </c>
      <c r="F768" s="47" t="n">
        <v>1.5</v>
      </c>
      <c r="G768" s="28" t="n">
        <v>0</v>
      </c>
      <c r="H768" s="28" t="n">
        <v>12</v>
      </c>
      <c r="I768" s="47" t="n">
        <f aca="false">E768*F768*(1-G768/100)*(1+H768/100)</f>
        <v>8.4</v>
      </c>
      <c r="J768" s="28" t="s">
        <v>34</v>
      </c>
      <c r="K768" s="28" t="s">
        <v>82</v>
      </c>
      <c r="L768" s="46" t="s">
        <v>122</v>
      </c>
      <c r="M768" s="47" t="n">
        <f aca="false">F768*(1-G768/100)-0.6</f>
        <v>0.9</v>
      </c>
      <c r="N768" s="47" t="n">
        <f aca="false">M768*E768</f>
        <v>4.5</v>
      </c>
    </row>
    <row r="769" customFormat="false" ht="16.5" hidden="false" customHeight="true" outlineLevel="0" collapsed="false">
      <c r="A769" s="42" t="n">
        <v>45730</v>
      </c>
      <c r="B769" s="24" t="s">
        <v>867</v>
      </c>
      <c r="C769" s="43" t="s">
        <v>113</v>
      </c>
      <c r="D769" s="43" t="s">
        <v>96</v>
      </c>
      <c r="E769" s="24" t="n">
        <v>4</v>
      </c>
      <c r="F769" s="44" t="n">
        <v>6</v>
      </c>
      <c r="G769" s="24" t="n">
        <v>5</v>
      </c>
      <c r="H769" s="24" t="n">
        <v>12</v>
      </c>
      <c r="I769" s="44" t="n">
        <f aca="false">E769*F769*(1-G769/100)*(1+H769/100)</f>
        <v>25.536</v>
      </c>
      <c r="J769" s="24" t="s">
        <v>32</v>
      </c>
      <c r="K769" s="24" t="s">
        <v>85</v>
      </c>
      <c r="L769" s="43" t="s">
        <v>106</v>
      </c>
      <c r="M769" s="44" t="n">
        <f aca="false">F769*(1-G769/100)-2.8</f>
        <v>2.9</v>
      </c>
      <c r="N769" s="44" t="n">
        <f aca="false">M769*E769</f>
        <v>11.6</v>
      </c>
    </row>
    <row r="770" customFormat="false" ht="16.5" hidden="false" customHeight="true" outlineLevel="0" collapsed="false">
      <c r="A770" s="45" t="n">
        <v>45730</v>
      </c>
      <c r="B770" s="28" t="s">
        <v>868</v>
      </c>
      <c r="C770" s="46" t="s">
        <v>25</v>
      </c>
      <c r="D770" s="46" t="s">
        <v>81</v>
      </c>
      <c r="E770" s="28" t="n">
        <v>4</v>
      </c>
      <c r="F770" s="47" t="n">
        <v>3.5</v>
      </c>
      <c r="G770" s="28" t="n">
        <v>0</v>
      </c>
      <c r="H770" s="28" t="n">
        <v>12</v>
      </c>
      <c r="I770" s="47" t="n">
        <f aca="false">E770*F770*(1-G770/100)*(1+H770/100)</f>
        <v>15.68</v>
      </c>
      <c r="J770" s="28" t="s">
        <v>34</v>
      </c>
      <c r="K770" s="28" t="s">
        <v>101</v>
      </c>
      <c r="L770" s="46" t="s">
        <v>89</v>
      </c>
      <c r="M770" s="47" t="n">
        <f aca="false">F770*(1-G770/100)-2.2</f>
        <v>1.3</v>
      </c>
      <c r="N770" s="47" t="n">
        <f aca="false">M770*E770</f>
        <v>5.2</v>
      </c>
    </row>
    <row r="771" customFormat="false" ht="16.5" hidden="false" customHeight="true" outlineLevel="0" collapsed="false">
      <c r="A771" s="42" t="n">
        <v>45730</v>
      </c>
      <c r="B771" s="24" t="s">
        <v>869</v>
      </c>
      <c r="C771" s="43" t="s">
        <v>27</v>
      </c>
      <c r="D771" s="43" t="s">
        <v>81</v>
      </c>
      <c r="E771" s="24" t="n">
        <v>5</v>
      </c>
      <c r="F771" s="44" t="n">
        <v>4.5</v>
      </c>
      <c r="G771" s="24" t="n">
        <v>0</v>
      </c>
      <c r="H771" s="24" t="n">
        <v>12</v>
      </c>
      <c r="I771" s="44" t="n">
        <f aca="false">E771*F771*(1-G771/100)*(1+H771/100)</f>
        <v>25.2</v>
      </c>
      <c r="J771" s="24" t="s">
        <v>24</v>
      </c>
      <c r="K771" s="24" t="s">
        <v>97</v>
      </c>
      <c r="L771" s="43" t="s">
        <v>117</v>
      </c>
      <c r="M771" s="44" t="n">
        <f aca="false">F771*(1-G771/100)-2.8</f>
        <v>1.7</v>
      </c>
      <c r="N771" s="44" t="n">
        <f aca="false">M771*E771</f>
        <v>8.5</v>
      </c>
    </row>
    <row r="772" customFormat="false" ht="16.5" hidden="false" customHeight="true" outlineLevel="0" collapsed="false">
      <c r="A772" s="45" t="n">
        <v>45730</v>
      </c>
      <c r="B772" s="28" t="s">
        <v>870</v>
      </c>
      <c r="C772" s="46" t="s">
        <v>27</v>
      </c>
      <c r="D772" s="46" t="s">
        <v>81</v>
      </c>
      <c r="E772" s="28" t="n">
        <v>3</v>
      </c>
      <c r="F772" s="47" t="n">
        <v>4.5</v>
      </c>
      <c r="G772" s="28" t="n">
        <v>0</v>
      </c>
      <c r="H772" s="28" t="n">
        <v>12</v>
      </c>
      <c r="I772" s="47" t="n">
        <f aca="false">E772*F772*(1-G772/100)*(1+H772/100)</f>
        <v>15.12</v>
      </c>
      <c r="J772" s="28" t="s">
        <v>34</v>
      </c>
      <c r="K772" s="28" t="s">
        <v>101</v>
      </c>
      <c r="L772" s="46" t="s">
        <v>122</v>
      </c>
      <c r="M772" s="47" t="n">
        <f aca="false">F772*(1-G772/100)-2.8</f>
        <v>1.7</v>
      </c>
      <c r="N772" s="47" t="n">
        <f aca="false">M772*E772</f>
        <v>5.1</v>
      </c>
    </row>
    <row r="773" customFormat="false" ht="16.5" hidden="false" customHeight="true" outlineLevel="0" collapsed="false">
      <c r="A773" s="42" t="n">
        <v>45730</v>
      </c>
      <c r="B773" s="24" t="s">
        <v>871</v>
      </c>
      <c r="C773" s="43" t="s">
        <v>93</v>
      </c>
      <c r="D773" s="43" t="s">
        <v>81</v>
      </c>
      <c r="E773" s="24" t="n">
        <v>4</v>
      </c>
      <c r="F773" s="44" t="n">
        <v>3</v>
      </c>
      <c r="G773" s="24" t="n">
        <v>5</v>
      </c>
      <c r="H773" s="24" t="n">
        <v>12</v>
      </c>
      <c r="I773" s="44" t="n">
        <f aca="false">E773*F773*(1-G773/100)*(1+H773/100)</f>
        <v>12.768</v>
      </c>
      <c r="J773" s="24" t="s">
        <v>24</v>
      </c>
      <c r="K773" s="24" t="s">
        <v>85</v>
      </c>
      <c r="L773" s="43" t="s">
        <v>83</v>
      </c>
      <c r="M773" s="44" t="n">
        <f aca="false">F773*(1-G773/100)-1.5</f>
        <v>1.35</v>
      </c>
      <c r="N773" s="44" t="n">
        <f aca="false">M773*E773</f>
        <v>5.4</v>
      </c>
    </row>
    <row r="774" customFormat="false" ht="16.5" hidden="false" customHeight="true" outlineLevel="0" collapsed="false">
      <c r="A774" s="45" t="n">
        <v>45730</v>
      </c>
      <c r="B774" s="28" t="s">
        <v>872</v>
      </c>
      <c r="C774" s="46" t="s">
        <v>124</v>
      </c>
      <c r="D774" s="46" t="s">
        <v>96</v>
      </c>
      <c r="E774" s="28" t="n">
        <v>2</v>
      </c>
      <c r="F774" s="47" t="n">
        <v>4</v>
      </c>
      <c r="G774" s="28" t="n">
        <v>0</v>
      </c>
      <c r="H774" s="28" t="n">
        <v>12</v>
      </c>
      <c r="I774" s="47" t="n">
        <f aca="false">E774*F774*(1-G774/100)*(1+H774/100)</f>
        <v>8.96</v>
      </c>
      <c r="J774" s="28" t="s">
        <v>32</v>
      </c>
      <c r="K774" s="28" t="s">
        <v>88</v>
      </c>
      <c r="L774" s="46" t="s">
        <v>122</v>
      </c>
      <c r="M774" s="47" t="n">
        <f aca="false">F774*(1-G774/100)-1.8</f>
        <v>2.2</v>
      </c>
      <c r="N774" s="47" t="n">
        <f aca="false">M774*E774</f>
        <v>4.4</v>
      </c>
    </row>
    <row r="775" customFormat="false" ht="16.5" hidden="false" customHeight="true" outlineLevel="0" collapsed="false">
      <c r="A775" s="42" t="n">
        <v>45731</v>
      </c>
      <c r="B775" s="24" t="s">
        <v>873</v>
      </c>
      <c r="C775" s="43" t="s">
        <v>29</v>
      </c>
      <c r="D775" s="43" t="s">
        <v>104</v>
      </c>
      <c r="E775" s="24" t="n">
        <v>3</v>
      </c>
      <c r="F775" s="44" t="n">
        <v>2.5</v>
      </c>
      <c r="G775" s="24" t="n">
        <v>0</v>
      </c>
      <c r="H775" s="24" t="n">
        <v>12</v>
      </c>
      <c r="I775" s="44" t="n">
        <f aca="false">E775*F775*(1-G775/100)*(1+H775/100)</f>
        <v>8.4</v>
      </c>
      <c r="J775" s="24" t="s">
        <v>24</v>
      </c>
      <c r="K775" s="24" t="s">
        <v>88</v>
      </c>
      <c r="L775" s="43" t="s">
        <v>117</v>
      </c>
      <c r="M775" s="44" t="n">
        <f aca="false">F775*(1-G775/100)-1.1</f>
        <v>1.4</v>
      </c>
      <c r="N775" s="44" t="n">
        <f aca="false">M775*E775</f>
        <v>4.2</v>
      </c>
    </row>
    <row r="776" customFormat="false" ht="16.5" hidden="false" customHeight="true" outlineLevel="0" collapsed="false">
      <c r="A776" s="45" t="n">
        <v>45731</v>
      </c>
      <c r="B776" s="28" t="s">
        <v>874</v>
      </c>
      <c r="C776" s="46" t="s">
        <v>29</v>
      </c>
      <c r="D776" s="46" t="s">
        <v>104</v>
      </c>
      <c r="E776" s="28" t="n">
        <v>1</v>
      </c>
      <c r="F776" s="47" t="n">
        <v>2.5</v>
      </c>
      <c r="G776" s="28" t="n">
        <v>0</v>
      </c>
      <c r="H776" s="28" t="n">
        <v>12</v>
      </c>
      <c r="I776" s="47" t="n">
        <f aca="false">E776*F776*(1-G776/100)*(1+H776/100)</f>
        <v>2.8</v>
      </c>
      <c r="J776" s="28" t="s">
        <v>24</v>
      </c>
      <c r="K776" s="28" t="s">
        <v>88</v>
      </c>
      <c r="L776" s="46" t="s">
        <v>89</v>
      </c>
      <c r="M776" s="47" t="n">
        <f aca="false">F776*(1-G776/100)-1.1</f>
        <v>1.4</v>
      </c>
      <c r="N776" s="47" t="n">
        <f aca="false">M776*E776</f>
        <v>1.4</v>
      </c>
    </row>
    <row r="777" customFormat="false" ht="16.5" hidden="false" customHeight="true" outlineLevel="0" collapsed="false">
      <c r="A777" s="42" t="n">
        <v>45731</v>
      </c>
      <c r="B777" s="24" t="s">
        <v>875</v>
      </c>
      <c r="C777" s="43" t="s">
        <v>113</v>
      </c>
      <c r="D777" s="43" t="s">
        <v>96</v>
      </c>
      <c r="E777" s="24" t="n">
        <v>5</v>
      </c>
      <c r="F777" s="44" t="n">
        <v>6</v>
      </c>
      <c r="G777" s="24" t="n">
        <v>10</v>
      </c>
      <c r="H777" s="24" t="n">
        <v>12</v>
      </c>
      <c r="I777" s="44" t="n">
        <f aca="false">E777*F777*(1-G777/100)*(1+H777/100)</f>
        <v>30.24</v>
      </c>
      <c r="J777" s="24" t="s">
        <v>24</v>
      </c>
      <c r="K777" s="24" t="s">
        <v>97</v>
      </c>
      <c r="L777" s="43" t="s">
        <v>91</v>
      </c>
      <c r="M777" s="44" t="n">
        <f aca="false">F777*(1-G777/100)-2.8</f>
        <v>2.6</v>
      </c>
      <c r="N777" s="44" t="n">
        <f aca="false">M777*E777</f>
        <v>13</v>
      </c>
    </row>
    <row r="778" customFormat="false" ht="16.5" hidden="false" customHeight="true" outlineLevel="0" collapsed="false">
      <c r="A778" s="45" t="n">
        <v>45731</v>
      </c>
      <c r="B778" s="28" t="s">
        <v>876</v>
      </c>
      <c r="C778" s="46" t="s">
        <v>36</v>
      </c>
      <c r="D778" s="46" t="s">
        <v>96</v>
      </c>
      <c r="E778" s="28" t="n">
        <v>2</v>
      </c>
      <c r="F778" s="47" t="n">
        <v>8.5</v>
      </c>
      <c r="G778" s="28" t="n">
        <v>5</v>
      </c>
      <c r="H778" s="28" t="n">
        <v>12</v>
      </c>
      <c r="I778" s="47" t="n">
        <f aca="false">E778*F778*(1-G778/100)*(1+H778/100)</f>
        <v>18.088</v>
      </c>
      <c r="J778" s="28" t="s">
        <v>34</v>
      </c>
      <c r="K778" s="28" t="s">
        <v>82</v>
      </c>
      <c r="L778" s="46" t="s">
        <v>83</v>
      </c>
      <c r="M778" s="47" t="n">
        <f aca="false">F778*(1-G778/100)-4.2</f>
        <v>3.875</v>
      </c>
      <c r="N778" s="47" t="n">
        <f aca="false">M778*E778</f>
        <v>7.75</v>
      </c>
    </row>
    <row r="779" customFormat="false" ht="16.5" hidden="false" customHeight="true" outlineLevel="0" collapsed="false">
      <c r="A779" s="42" t="n">
        <v>45731</v>
      </c>
      <c r="B779" s="24" t="s">
        <v>877</v>
      </c>
      <c r="C779" s="43" t="s">
        <v>29</v>
      </c>
      <c r="D779" s="43" t="s">
        <v>104</v>
      </c>
      <c r="E779" s="24" t="n">
        <v>2</v>
      </c>
      <c r="F779" s="44" t="n">
        <v>2.5</v>
      </c>
      <c r="G779" s="24" t="n">
        <v>10</v>
      </c>
      <c r="H779" s="24" t="n">
        <v>12</v>
      </c>
      <c r="I779" s="44" t="n">
        <f aca="false">E779*F779*(1-G779/100)*(1+H779/100)</f>
        <v>5.04</v>
      </c>
      <c r="J779" s="24" t="s">
        <v>28</v>
      </c>
      <c r="K779" s="24" t="s">
        <v>82</v>
      </c>
      <c r="L779" s="43" t="s">
        <v>98</v>
      </c>
      <c r="M779" s="44" t="n">
        <f aca="false">F779*(1-G779/100)-1.1</f>
        <v>1.15</v>
      </c>
      <c r="N779" s="44" t="n">
        <f aca="false">M779*E779</f>
        <v>2.3</v>
      </c>
    </row>
    <row r="780" customFormat="false" ht="16.5" hidden="false" customHeight="true" outlineLevel="0" collapsed="false">
      <c r="A780" s="45" t="n">
        <v>45731</v>
      </c>
      <c r="B780" s="28" t="s">
        <v>878</v>
      </c>
      <c r="C780" s="46" t="s">
        <v>29</v>
      </c>
      <c r="D780" s="46" t="s">
        <v>104</v>
      </c>
      <c r="E780" s="28" t="n">
        <v>5</v>
      </c>
      <c r="F780" s="47" t="n">
        <v>2.5</v>
      </c>
      <c r="G780" s="28" t="n">
        <v>0</v>
      </c>
      <c r="H780" s="28" t="n">
        <v>12</v>
      </c>
      <c r="I780" s="47" t="n">
        <f aca="false">E780*F780*(1-G780/100)*(1+H780/100)</f>
        <v>14</v>
      </c>
      <c r="J780" s="28" t="s">
        <v>34</v>
      </c>
      <c r="K780" s="28" t="s">
        <v>85</v>
      </c>
      <c r="L780" s="46" t="s">
        <v>117</v>
      </c>
      <c r="M780" s="47" t="n">
        <f aca="false">F780*(1-G780/100)-1.1</f>
        <v>1.4</v>
      </c>
      <c r="N780" s="47" t="n">
        <f aca="false">M780*E780</f>
        <v>7</v>
      </c>
    </row>
    <row r="781" customFormat="false" ht="16.5" hidden="false" customHeight="true" outlineLevel="0" collapsed="false">
      <c r="A781" s="42" t="n">
        <v>45731</v>
      </c>
      <c r="B781" s="24" t="s">
        <v>879</v>
      </c>
      <c r="C781" s="43" t="s">
        <v>27</v>
      </c>
      <c r="D781" s="43" t="s">
        <v>81</v>
      </c>
      <c r="E781" s="24" t="n">
        <v>3</v>
      </c>
      <c r="F781" s="44" t="n">
        <v>4.5</v>
      </c>
      <c r="G781" s="24" t="n">
        <v>0</v>
      </c>
      <c r="H781" s="24" t="n">
        <v>12</v>
      </c>
      <c r="I781" s="44" t="n">
        <f aca="false">E781*F781*(1-G781/100)*(1+H781/100)</f>
        <v>15.12</v>
      </c>
      <c r="J781" s="24" t="s">
        <v>28</v>
      </c>
      <c r="K781" s="24" t="s">
        <v>101</v>
      </c>
      <c r="L781" s="43" t="s">
        <v>91</v>
      </c>
      <c r="M781" s="44" t="n">
        <f aca="false">F781*(1-G781/100)-2.8</f>
        <v>1.7</v>
      </c>
      <c r="N781" s="44" t="n">
        <f aca="false">M781*E781</f>
        <v>5.1</v>
      </c>
    </row>
    <row r="782" customFormat="false" ht="16.5" hidden="false" customHeight="true" outlineLevel="0" collapsed="false">
      <c r="A782" s="45" t="n">
        <v>45731</v>
      </c>
      <c r="B782" s="28" t="s">
        <v>880</v>
      </c>
      <c r="C782" s="46" t="s">
        <v>109</v>
      </c>
      <c r="D782" s="46" t="s">
        <v>110</v>
      </c>
      <c r="E782" s="28" t="n">
        <v>4</v>
      </c>
      <c r="F782" s="47" t="n">
        <v>3.5</v>
      </c>
      <c r="G782" s="28" t="n">
        <v>0</v>
      </c>
      <c r="H782" s="28" t="n">
        <v>12</v>
      </c>
      <c r="I782" s="47" t="n">
        <f aca="false">E782*F782*(1-G782/100)*(1+H782/100)</f>
        <v>15.68</v>
      </c>
      <c r="J782" s="28" t="s">
        <v>28</v>
      </c>
      <c r="K782" s="28" t="s">
        <v>82</v>
      </c>
      <c r="L782" s="46" t="s">
        <v>91</v>
      </c>
      <c r="M782" s="47" t="n">
        <f aca="false">F782*(1-G782/100)-1.4</f>
        <v>2.1</v>
      </c>
      <c r="N782" s="47" t="n">
        <f aca="false">M782*E782</f>
        <v>8.4</v>
      </c>
    </row>
    <row r="783" customFormat="false" ht="16.5" hidden="false" customHeight="true" outlineLevel="0" collapsed="false">
      <c r="A783" s="42" t="n">
        <v>45731</v>
      </c>
      <c r="B783" s="24" t="s">
        <v>881</v>
      </c>
      <c r="C783" s="43" t="s">
        <v>27</v>
      </c>
      <c r="D783" s="43" t="s">
        <v>81</v>
      </c>
      <c r="E783" s="24" t="n">
        <v>3</v>
      </c>
      <c r="F783" s="44" t="n">
        <v>4.5</v>
      </c>
      <c r="G783" s="24" t="n">
        <v>10</v>
      </c>
      <c r="H783" s="24" t="n">
        <v>12</v>
      </c>
      <c r="I783" s="44" t="n">
        <f aca="false">E783*F783*(1-G783/100)*(1+H783/100)</f>
        <v>13.608</v>
      </c>
      <c r="J783" s="24" t="s">
        <v>24</v>
      </c>
      <c r="K783" s="24" t="s">
        <v>82</v>
      </c>
      <c r="L783" s="43" t="s">
        <v>106</v>
      </c>
      <c r="M783" s="44" t="n">
        <f aca="false">F783*(1-G783/100)-2.8</f>
        <v>1.25</v>
      </c>
      <c r="N783" s="44" t="n">
        <f aca="false">M783*E783</f>
        <v>3.75</v>
      </c>
    </row>
    <row r="784" customFormat="false" ht="16.5" hidden="false" customHeight="true" outlineLevel="0" collapsed="false">
      <c r="A784" s="45" t="n">
        <v>45731</v>
      </c>
      <c r="B784" s="28" t="s">
        <v>882</v>
      </c>
      <c r="C784" s="46" t="s">
        <v>93</v>
      </c>
      <c r="D784" s="46" t="s">
        <v>81</v>
      </c>
      <c r="E784" s="28" t="n">
        <v>4</v>
      </c>
      <c r="F784" s="47" t="n">
        <v>3</v>
      </c>
      <c r="G784" s="28" t="n">
        <v>0</v>
      </c>
      <c r="H784" s="28" t="n">
        <v>12</v>
      </c>
      <c r="I784" s="47" t="n">
        <f aca="false">E784*F784*(1-G784/100)*(1+H784/100)</f>
        <v>13.44</v>
      </c>
      <c r="J784" s="28" t="s">
        <v>34</v>
      </c>
      <c r="K784" s="28" t="s">
        <v>97</v>
      </c>
      <c r="L784" s="46" t="s">
        <v>89</v>
      </c>
      <c r="M784" s="47" t="n">
        <f aca="false">F784*(1-G784/100)-1.5</f>
        <v>1.5</v>
      </c>
      <c r="N784" s="47" t="n">
        <f aca="false">M784*E784</f>
        <v>6</v>
      </c>
    </row>
    <row r="785" customFormat="false" ht="16.5" hidden="false" customHeight="true" outlineLevel="0" collapsed="false">
      <c r="A785" s="42" t="n">
        <v>45731</v>
      </c>
      <c r="B785" s="24" t="s">
        <v>883</v>
      </c>
      <c r="C785" s="43" t="s">
        <v>29</v>
      </c>
      <c r="D785" s="43" t="s">
        <v>104</v>
      </c>
      <c r="E785" s="24" t="n">
        <v>5</v>
      </c>
      <c r="F785" s="44" t="n">
        <v>2.5</v>
      </c>
      <c r="G785" s="24" t="n">
        <v>10</v>
      </c>
      <c r="H785" s="24" t="n">
        <v>12</v>
      </c>
      <c r="I785" s="44" t="n">
        <f aca="false">E785*F785*(1-G785/100)*(1+H785/100)</f>
        <v>12.6</v>
      </c>
      <c r="J785" s="24" t="s">
        <v>28</v>
      </c>
      <c r="K785" s="24" t="s">
        <v>97</v>
      </c>
      <c r="L785" s="43" t="s">
        <v>94</v>
      </c>
      <c r="M785" s="44" t="n">
        <f aca="false">F785*(1-G785/100)-1.1</f>
        <v>1.15</v>
      </c>
      <c r="N785" s="44" t="n">
        <f aca="false">M785*E785</f>
        <v>5.75</v>
      </c>
    </row>
    <row r="786" customFormat="false" ht="16.5" hidden="false" customHeight="true" outlineLevel="0" collapsed="false">
      <c r="A786" s="45" t="n">
        <v>45731</v>
      </c>
      <c r="B786" s="28" t="s">
        <v>884</v>
      </c>
      <c r="C786" s="46" t="s">
        <v>29</v>
      </c>
      <c r="D786" s="46" t="s">
        <v>104</v>
      </c>
      <c r="E786" s="28" t="n">
        <v>1</v>
      </c>
      <c r="F786" s="47" t="n">
        <v>2.5</v>
      </c>
      <c r="G786" s="28" t="n">
        <v>0</v>
      </c>
      <c r="H786" s="28" t="n">
        <v>12</v>
      </c>
      <c r="I786" s="47" t="n">
        <f aca="false">E786*F786*(1-G786/100)*(1+H786/100)</f>
        <v>2.8</v>
      </c>
      <c r="J786" s="28" t="s">
        <v>26</v>
      </c>
      <c r="K786" s="28" t="s">
        <v>82</v>
      </c>
      <c r="L786" s="46" t="s">
        <v>94</v>
      </c>
      <c r="M786" s="47" t="n">
        <f aca="false">F786*(1-G786/100)-1.1</f>
        <v>1.4</v>
      </c>
      <c r="N786" s="47" t="n">
        <f aca="false">M786*E786</f>
        <v>1.4</v>
      </c>
    </row>
    <row r="787" customFormat="false" ht="16.5" hidden="false" customHeight="true" outlineLevel="0" collapsed="false">
      <c r="A787" s="42" t="n">
        <v>45731</v>
      </c>
      <c r="B787" s="24" t="s">
        <v>885</v>
      </c>
      <c r="C787" s="43" t="s">
        <v>35</v>
      </c>
      <c r="D787" s="43" t="s">
        <v>81</v>
      </c>
      <c r="E787" s="24" t="n">
        <v>3</v>
      </c>
      <c r="F787" s="44" t="n">
        <v>1.5</v>
      </c>
      <c r="G787" s="24" t="n">
        <v>0</v>
      </c>
      <c r="H787" s="24" t="n">
        <v>12</v>
      </c>
      <c r="I787" s="44" t="n">
        <f aca="false">E787*F787*(1-G787/100)*(1+H787/100)</f>
        <v>5.04</v>
      </c>
      <c r="J787" s="24" t="s">
        <v>28</v>
      </c>
      <c r="K787" s="24" t="s">
        <v>85</v>
      </c>
      <c r="L787" s="43" t="s">
        <v>111</v>
      </c>
      <c r="M787" s="44" t="n">
        <f aca="false">F787*(1-G787/100)-0.6</f>
        <v>0.9</v>
      </c>
      <c r="N787" s="44" t="n">
        <f aca="false">M787*E787</f>
        <v>2.7</v>
      </c>
    </row>
    <row r="788" customFormat="false" ht="16.5" hidden="false" customHeight="true" outlineLevel="0" collapsed="false">
      <c r="A788" s="45" t="n">
        <v>45731</v>
      </c>
      <c r="B788" s="28" t="s">
        <v>886</v>
      </c>
      <c r="C788" s="46" t="s">
        <v>93</v>
      </c>
      <c r="D788" s="46" t="s">
        <v>81</v>
      </c>
      <c r="E788" s="28" t="n">
        <v>3</v>
      </c>
      <c r="F788" s="47" t="n">
        <v>3</v>
      </c>
      <c r="G788" s="28" t="n">
        <v>0</v>
      </c>
      <c r="H788" s="28" t="n">
        <v>12</v>
      </c>
      <c r="I788" s="47" t="n">
        <f aca="false">E788*F788*(1-G788/100)*(1+H788/100)</f>
        <v>10.08</v>
      </c>
      <c r="J788" s="28" t="s">
        <v>32</v>
      </c>
      <c r="K788" s="28" t="s">
        <v>88</v>
      </c>
      <c r="L788" s="46" t="s">
        <v>98</v>
      </c>
      <c r="M788" s="47" t="n">
        <f aca="false">F788*(1-G788/100)-1.5</f>
        <v>1.5</v>
      </c>
      <c r="N788" s="47" t="n">
        <f aca="false">M788*E788</f>
        <v>4.5</v>
      </c>
    </row>
    <row r="789" customFormat="false" ht="16.5" hidden="false" customHeight="true" outlineLevel="0" collapsed="false">
      <c r="A789" s="42" t="n">
        <v>45731</v>
      </c>
      <c r="B789" s="24" t="s">
        <v>887</v>
      </c>
      <c r="C789" s="43" t="s">
        <v>29</v>
      </c>
      <c r="D789" s="43" t="s">
        <v>104</v>
      </c>
      <c r="E789" s="24" t="n">
        <v>5</v>
      </c>
      <c r="F789" s="44" t="n">
        <v>2.5</v>
      </c>
      <c r="G789" s="24" t="n">
        <v>0</v>
      </c>
      <c r="H789" s="24" t="n">
        <v>12</v>
      </c>
      <c r="I789" s="44" t="n">
        <f aca="false">E789*F789*(1-G789/100)*(1+H789/100)</f>
        <v>14</v>
      </c>
      <c r="J789" s="24" t="s">
        <v>28</v>
      </c>
      <c r="K789" s="24" t="s">
        <v>82</v>
      </c>
      <c r="L789" s="43" t="s">
        <v>117</v>
      </c>
      <c r="M789" s="44" t="n">
        <f aca="false">F789*(1-G789/100)-1.1</f>
        <v>1.4</v>
      </c>
      <c r="N789" s="44" t="n">
        <f aca="false">M789*E789</f>
        <v>7</v>
      </c>
    </row>
    <row r="790" customFormat="false" ht="16.5" hidden="false" customHeight="true" outlineLevel="0" collapsed="false">
      <c r="A790" s="45" t="n">
        <v>45732</v>
      </c>
      <c r="B790" s="28" t="s">
        <v>888</v>
      </c>
      <c r="C790" s="46" t="s">
        <v>35</v>
      </c>
      <c r="D790" s="46" t="s">
        <v>81</v>
      </c>
      <c r="E790" s="28" t="n">
        <v>1</v>
      </c>
      <c r="F790" s="47" t="n">
        <v>1.5</v>
      </c>
      <c r="G790" s="28" t="n">
        <v>0</v>
      </c>
      <c r="H790" s="28" t="n">
        <v>12</v>
      </c>
      <c r="I790" s="47" t="n">
        <f aca="false">E790*F790*(1-G790/100)*(1+H790/100)</f>
        <v>1.68</v>
      </c>
      <c r="J790" s="28" t="s">
        <v>24</v>
      </c>
      <c r="K790" s="28" t="s">
        <v>88</v>
      </c>
      <c r="L790" s="46" t="s">
        <v>86</v>
      </c>
      <c r="M790" s="47" t="n">
        <f aca="false">F790*(1-G790/100)-0.6</f>
        <v>0.9</v>
      </c>
      <c r="N790" s="47" t="n">
        <f aca="false">M790*E790</f>
        <v>0.9</v>
      </c>
    </row>
    <row r="791" customFormat="false" ht="16.5" hidden="false" customHeight="true" outlineLevel="0" collapsed="false">
      <c r="A791" s="42" t="n">
        <v>45732</v>
      </c>
      <c r="B791" s="24" t="s">
        <v>889</v>
      </c>
      <c r="C791" s="43" t="s">
        <v>109</v>
      </c>
      <c r="D791" s="43" t="s">
        <v>110</v>
      </c>
      <c r="E791" s="24" t="n">
        <v>5</v>
      </c>
      <c r="F791" s="44" t="n">
        <v>3.5</v>
      </c>
      <c r="G791" s="24" t="n">
        <v>5</v>
      </c>
      <c r="H791" s="24" t="n">
        <v>12</v>
      </c>
      <c r="I791" s="44" t="n">
        <f aca="false">E791*F791*(1-G791/100)*(1+H791/100)</f>
        <v>18.62</v>
      </c>
      <c r="J791" s="24" t="s">
        <v>34</v>
      </c>
      <c r="K791" s="24" t="s">
        <v>82</v>
      </c>
      <c r="L791" s="43" t="s">
        <v>86</v>
      </c>
      <c r="M791" s="44" t="n">
        <f aca="false">F791*(1-G791/100)-1.4</f>
        <v>1.925</v>
      </c>
      <c r="N791" s="44" t="n">
        <f aca="false">M791*E791</f>
        <v>9.625</v>
      </c>
    </row>
    <row r="792" customFormat="false" ht="16.5" hidden="false" customHeight="true" outlineLevel="0" collapsed="false">
      <c r="A792" s="45" t="n">
        <v>45732</v>
      </c>
      <c r="B792" s="28" t="s">
        <v>890</v>
      </c>
      <c r="C792" s="46" t="s">
        <v>124</v>
      </c>
      <c r="D792" s="46" t="s">
        <v>96</v>
      </c>
      <c r="E792" s="28" t="n">
        <v>3</v>
      </c>
      <c r="F792" s="47" t="n">
        <v>4</v>
      </c>
      <c r="G792" s="28" t="n">
        <v>10</v>
      </c>
      <c r="H792" s="28" t="n">
        <v>12</v>
      </c>
      <c r="I792" s="47" t="n">
        <f aca="false">E792*F792*(1-G792/100)*(1+H792/100)</f>
        <v>12.096</v>
      </c>
      <c r="J792" s="28" t="s">
        <v>34</v>
      </c>
      <c r="K792" s="28" t="s">
        <v>85</v>
      </c>
      <c r="L792" s="46" t="s">
        <v>83</v>
      </c>
      <c r="M792" s="47" t="n">
        <f aca="false">F792*(1-G792/100)-1.8</f>
        <v>1.8</v>
      </c>
      <c r="N792" s="47" t="n">
        <f aca="false">M792*E792</f>
        <v>5.4</v>
      </c>
    </row>
    <row r="793" customFormat="false" ht="16.5" hidden="false" customHeight="true" outlineLevel="0" collapsed="false">
      <c r="A793" s="42" t="n">
        <v>45732</v>
      </c>
      <c r="B793" s="24" t="s">
        <v>891</v>
      </c>
      <c r="C793" s="43" t="s">
        <v>36</v>
      </c>
      <c r="D793" s="43" t="s">
        <v>96</v>
      </c>
      <c r="E793" s="24" t="n">
        <v>4</v>
      </c>
      <c r="F793" s="44" t="n">
        <v>8.5</v>
      </c>
      <c r="G793" s="24" t="n">
        <v>0</v>
      </c>
      <c r="H793" s="24" t="n">
        <v>12</v>
      </c>
      <c r="I793" s="44" t="n">
        <f aca="false">E793*F793*(1-G793/100)*(1+H793/100)</f>
        <v>38.08</v>
      </c>
      <c r="J793" s="24" t="s">
        <v>34</v>
      </c>
      <c r="K793" s="24" t="s">
        <v>97</v>
      </c>
      <c r="L793" s="43" t="s">
        <v>83</v>
      </c>
      <c r="M793" s="44" t="n">
        <f aca="false">F793*(1-G793/100)-4.2</f>
        <v>4.3</v>
      </c>
      <c r="N793" s="44" t="n">
        <f aca="false">M793*E793</f>
        <v>17.2</v>
      </c>
    </row>
    <row r="794" customFormat="false" ht="16.5" hidden="false" customHeight="true" outlineLevel="0" collapsed="false">
      <c r="A794" s="45" t="n">
        <v>45732</v>
      </c>
      <c r="B794" s="28" t="s">
        <v>892</v>
      </c>
      <c r="C794" s="46" t="s">
        <v>93</v>
      </c>
      <c r="D794" s="46" t="s">
        <v>81</v>
      </c>
      <c r="E794" s="28" t="n">
        <v>5</v>
      </c>
      <c r="F794" s="47" t="n">
        <v>3</v>
      </c>
      <c r="G794" s="28" t="n">
        <v>10</v>
      </c>
      <c r="H794" s="28" t="n">
        <v>12</v>
      </c>
      <c r="I794" s="47" t="n">
        <f aca="false">E794*F794*(1-G794/100)*(1+H794/100)</f>
        <v>15.12</v>
      </c>
      <c r="J794" s="28" t="s">
        <v>24</v>
      </c>
      <c r="K794" s="28" t="s">
        <v>85</v>
      </c>
      <c r="L794" s="46" t="s">
        <v>106</v>
      </c>
      <c r="M794" s="47" t="n">
        <f aca="false">F794*(1-G794/100)-1.5</f>
        <v>1.2</v>
      </c>
      <c r="N794" s="47" t="n">
        <f aca="false">M794*E794</f>
        <v>6</v>
      </c>
    </row>
    <row r="795" customFormat="false" ht="16.5" hidden="false" customHeight="true" outlineLevel="0" collapsed="false">
      <c r="A795" s="42" t="n">
        <v>45732</v>
      </c>
      <c r="B795" s="24" t="s">
        <v>893</v>
      </c>
      <c r="C795" s="43" t="s">
        <v>124</v>
      </c>
      <c r="D795" s="43" t="s">
        <v>96</v>
      </c>
      <c r="E795" s="24" t="n">
        <v>1</v>
      </c>
      <c r="F795" s="44" t="n">
        <v>4</v>
      </c>
      <c r="G795" s="24" t="n">
        <v>0</v>
      </c>
      <c r="H795" s="24" t="n">
        <v>12</v>
      </c>
      <c r="I795" s="44" t="n">
        <f aca="false">E795*F795*(1-G795/100)*(1+H795/100)</f>
        <v>4.48</v>
      </c>
      <c r="J795" s="24" t="s">
        <v>34</v>
      </c>
      <c r="K795" s="24" t="s">
        <v>82</v>
      </c>
      <c r="L795" s="43" t="s">
        <v>117</v>
      </c>
      <c r="M795" s="44" t="n">
        <f aca="false">F795*(1-G795/100)-1.8</f>
        <v>2.2</v>
      </c>
      <c r="N795" s="44" t="n">
        <f aca="false">M795*E795</f>
        <v>2.2</v>
      </c>
    </row>
    <row r="796" customFormat="false" ht="16.5" hidden="false" customHeight="true" outlineLevel="0" collapsed="false">
      <c r="A796" s="45" t="n">
        <v>45732</v>
      </c>
      <c r="B796" s="28" t="s">
        <v>894</v>
      </c>
      <c r="C796" s="46" t="s">
        <v>29</v>
      </c>
      <c r="D796" s="46" t="s">
        <v>104</v>
      </c>
      <c r="E796" s="28" t="n">
        <v>4</v>
      </c>
      <c r="F796" s="47" t="n">
        <v>2.5</v>
      </c>
      <c r="G796" s="28" t="n">
        <v>0</v>
      </c>
      <c r="H796" s="28" t="n">
        <v>12</v>
      </c>
      <c r="I796" s="47" t="n">
        <f aca="false">E796*F796*(1-G796/100)*(1+H796/100)</f>
        <v>11.2</v>
      </c>
      <c r="J796" s="28" t="s">
        <v>26</v>
      </c>
      <c r="K796" s="28" t="s">
        <v>88</v>
      </c>
      <c r="L796" s="46" t="s">
        <v>89</v>
      </c>
      <c r="M796" s="47" t="n">
        <f aca="false">F796*(1-G796/100)-1.1</f>
        <v>1.4</v>
      </c>
      <c r="N796" s="47" t="n">
        <f aca="false">M796*E796</f>
        <v>5.6</v>
      </c>
    </row>
    <row r="797" customFormat="false" ht="16.5" hidden="false" customHeight="true" outlineLevel="0" collapsed="false">
      <c r="A797" s="42" t="n">
        <v>45732</v>
      </c>
      <c r="B797" s="24" t="s">
        <v>895</v>
      </c>
      <c r="C797" s="43" t="s">
        <v>29</v>
      </c>
      <c r="D797" s="43" t="s">
        <v>104</v>
      </c>
      <c r="E797" s="24" t="n">
        <v>4</v>
      </c>
      <c r="F797" s="44" t="n">
        <v>2.5</v>
      </c>
      <c r="G797" s="24" t="n">
        <v>0</v>
      </c>
      <c r="H797" s="24" t="n">
        <v>12</v>
      </c>
      <c r="I797" s="44" t="n">
        <f aca="false">E797*F797*(1-G797/100)*(1+H797/100)</f>
        <v>11.2</v>
      </c>
      <c r="J797" s="24" t="s">
        <v>24</v>
      </c>
      <c r="K797" s="24" t="s">
        <v>82</v>
      </c>
      <c r="L797" s="43" t="s">
        <v>111</v>
      </c>
      <c r="M797" s="44" t="n">
        <f aca="false">F797*(1-G797/100)-1.1</f>
        <v>1.4</v>
      </c>
      <c r="N797" s="44" t="n">
        <f aca="false">M797*E797</f>
        <v>5.6</v>
      </c>
    </row>
    <row r="798" customFormat="false" ht="16.5" hidden="false" customHeight="true" outlineLevel="0" collapsed="false">
      <c r="A798" s="45" t="n">
        <v>45733</v>
      </c>
      <c r="B798" s="28" t="s">
        <v>896</v>
      </c>
      <c r="C798" s="46" t="s">
        <v>27</v>
      </c>
      <c r="D798" s="46" t="s">
        <v>81</v>
      </c>
      <c r="E798" s="28" t="n">
        <v>3</v>
      </c>
      <c r="F798" s="47" t="n">
        <v>4.5</v>
      </c>
      <c r="G798" s="28" t="n">
        <v>0</v>
      </c>
      <c r="H798" s="28" t="n">
        <v>12</v>
      </c>
      <c r="I798" s="47" t="n">
        <f aca="false">E798*F798*(1-G798/100)*(1+H798/100)</f>
        <v>15.12</v>
      </c>
      <c r="J798" s="28" t="s">
        <v>26</v>
      </c>
      <c r="K798" s="28" t="s">
        <v>101</v>
      </c>
      <c r="L798" s="46" t="s">
        <v>91</v>
      </c>
      <c r="M798" s="47" t="n">
        <f aca="false">F798*(1-G798/100)-2.8</f>
        <v>1.7</v>
      </c>
      <c r="N798" s="47" t="n">
        <f aca="false">M798*E798</f>
        <v>5.1</v>
      </c>
    </row>
    <row r="799" customFormat="false" ht="16.5" hidden="false" customHeight="true" outlineLevel="0" collapsed="false">
      <c r="A799" s="42" t="n">
        <v>45733</v>
      </c>
      <c r="B799" s="24" t="s">
        <v>897</v>
      </c>
      <c r="C799" s="43" t="s">
        <v>124</v>
      </c>
      <c r="D799" s="43" t="s">
        <v>96</v>
      </c>
      <c r="E799" s="24" t="n">
        <v>3</v>
      </c>
      <c r="F799" s="44" t="n">
        <v>4</v>
      </c>
      <c r="G799" s="24" t="n">
        <v>5</v>
      </c>
      <c r="H799" s="24" t="n">
        <v>12</v>
      </c>
      <c r="I799" s="44" t="n">
        <f aca="false">E799*F799*(1-G799/100)*(1+H799/100)</f>
        <v>12.768</v>
      </c>
      <c r="J799" s="24" t="s">
        <v>32</v>
      </c>
      <c r="K799" s="24" t="s">
        <v>85</v>
      </c>
      <c r="L799" s="43" t="s">
        <v>86</v>
      </c>
      <c r="M799" s="44" t="n">
        <f aca="false">F799*(1-G799/100)-1.8</f>
        <v>2</v>
      </c>
      <c r="N799" s="44" t="n">
        <f aca="false">M799*E799</f>
        <v>6</v>
      </c>
    </row>
    <row r="800" customFormat="false" ht="16.5" hidden="false" customHeight="true" outlineLevel="0" collapsed="false">
      <c r="A800" s="45" t="n">
        <v>45733</v>
      </c>
      <c r="B800" s="28" t="s">
        <v>898</v>
      </c>
      <c r="C800" s="46" t="s">
        <v>25</v>
      </c>
      <c r="D800" s="46" t="s">
        <v>81</v>
      </c>
      <c r="E800" s="28" t="n">
        <v>3</v>
      </c>
      <c r="F800" s="47" t="n">
        <v>3.5</v>
      </c>
      <c r="G800" s="28" t="n">
        <v>0</v>
      </c>
      <c r="H800" s="28" t="n">
        <v>12</v>
      </c>
      <c r="I800" s="47" t="n">
        <f aca="false">E800*F800*(1-G800/100)*(1+H800/100)</f>
        <v>11.76</v>
      </c>
      <c r="J800" s="28" t="s">
        <v>34</v>
      </c>
      <c r="K800" s="28" t="s">
        <v>97</v>
      </c>
      <c r="L800" s="46" t="s">
        <v>122</v>
      </c>
      <c r="M800" s="47" t="n">
        <f aca="false">F800*(1-G800/100)-2.2</f>
        <v>1.3</v>
      </c>
      <c r="N800" s="47" t="n">
        <f aca="false">M800*E800</f>
        <v>3.9</v>
      </c>
    </row>
    <row r="801" customFormat="false" ht="16.5" hidden="false" customHeight="true" outlineLevel="0" collapsed="false">
      <c r="A801" s="42" t="n">
        <v>45733</v>
      </c>
      <c r="B801" s="24" t="s">
        <v>899</v>
      </c>
      <c r="C801" s="43" t="s">
        <v>109</v>
      </c>
      <c r="D801" s="43" t="s">
        <v>110</v>
      </c>
      <c r="E801" s="24" t="n">
        <v>5</v>
      </c>
      <c r="F801" s="44" t="n">
        <v>3.5</v>
      </c>
      <c r="G801" s="24" t="n">
        <v>10</v>
      </c>
      <c r="H801" s="24" t="n">
        <v>12</v>
      </c>
      <c r="I801" s="44" t="n">
        <f aca="false">E801*F801*(1-G801/100)*(1+H801/100)</f>
        <v>17.64</v>
      </c>
      <c r="J801" s="24" t="s">
        <v>26</v>
      </c>
      <c r="K801" s="24" t="s">
        <v>85</v>
      </c>
      <c r="L801" s="43" t="s">
        <v>94</v>
      </c>
      <c r="M801" s="44" t="n">
        <f aca="false">F801*(1-G801/100)-1.4</f>
        <v>1.75</v>
      </c>
      <c r="N801" s="44" t="n">
        <f aca="false">M801*E801</f>
        <v>8.75</v>
      </c>
    </row>
    <row r="802" customFormat="false" ht="16.5" hidden="false" customHeight="true" outlineLevel="0" collapsed="false">
      <c r="A802" s="45" t="n">
        <v>45733</v>
      </c>
      <c r="B802" s="28" t="s">
        <v>900</v>
      </c>
      <c r="C802" s="46" t="s">
        <v>36</v>
      </c>
      <c r="D802" s="46" t="s">
        <v>96</v>
      </c>
      <c r="E802" s="28" t="n">
        <v>5</v>
      </c>
      <c r="F802" s="47" t="n">
        <v>8.5</v>
      </c>
      <c r="G802" s="28" t="n">
        <v>0</v>
      </c>
      <c r="H802" s="28" t="n">
        <v>12</v>
      </c>
      <c r="I802" s="47" t="n">
        <f aca="false">E802*F802*(1-G802/100)*(1+H802/100)</f>
        <v>47.6</v>
      </c>
      <c r="J802" s="28" t="s">
        <v>34</v>
      </c>
      <c r="K802" s="28" t="s">
        <v>97</v>
      </c>
      <c r="L802" s="46" t="s">
        <v>94</v>
      </c>
      <c r="M802" s="47" t="n">
        <f aca="false">F802*(1-G802/100)-4.2</f>
        <v>4.3</v>
      </c>
      <c r="N802" s="47" t="n">
        <f aca="false">M802*E802</f>
        <v>21.5</v>
      </c>
    </row>
    <row r="803" customFormat="false" ht="16.5" hidden="false" customHeight="true" outlineLevel="0" collapsed="false">
      <c r="A803" s="42" t="n">
        <v>45733</v>
      </c>
      <c r="B803" s="24" t="s">
        <v>901</v>
      </c>
      <c r="C803" s="43" t="s">
        <v>33</v>
      </c>
      <c r="D803" s="43" t="s">
        <v>104</v>
      </c>
      <c r="E803" s="24" t="n">
        <v>5</v>
      </c>
      <c r="F803" s="44" t="n">
        <v>5</v>
      </c>
      <c r="G803" s="24" t="n">
        <v>5</v>
      </c>
      <c r="H803" s="24" t="n">
        <v>12</v>
      </c>
      <c r="I803" s="44" t="n">
        <f aca="false">E803*F803*(1-G803/100)*(1+H803/100)</f>
        <v>26.6</v>
      </c>
      <c r="J803" s="24" t="s">
        <v>28</v>
      </c>
      <c r="K803" s="24" t="s">
        <v>97</v>
      </c>
      <c r="L803" s="43" t="s">
        <v>111</v>
      </c>
      <c r="M803" s="44" t="n">
        <f aca="false">F803*(1-G803/100)-2.5</f>
        <v>2.25</v>
      </c>
      <c r="N803" s="44" t="n">
        <f aca="false">M803*E803</f>
        <v>11.25</v>
      </c>
    </row>
    <row r="804" customFormat="false" ht="16.5" hidden="false" customHeight="true" outlineLevel="0" collapsed="false">
      <c r="A804" s="45" t="n">
        <v>45733</v>
      </c>
      <c r="B804" s="28" t="s">
        <v>902</v>
      </c>
      <c r="C804" s="46" t="s">
        <v>93</v>
      </c>
      <c r="D804" s="46" t="s">
        <v>81</v>
      </c>
      <c r="E804" s="28" t="n">
        <v>5</v>
      </c>
      <c r="F804" s="47" t="n">
        <v>3</v>
      </c>
      <c r="G804" s="28" t="n">
        <v>0</v>
      </c>
      <c r="H804" s="28" t="n">
        <v>12</v>
      </c>
      <c r="I804" s="47" t="n">
        <f aca="false">E804*F804*(1-G804/100)*(1+H804/100)</f>
        <v>16.8</v>
      </c>
      <c r="J804" s="28" t="s">
        <v>34</v>
      </c>
      <c r="K804" s="28" t="s">
        <v>82</v>
      </c>
      <c r="L804" s="46" t="s">
        <v>111</v>
      </c>
      <c r="M804" s="47" t="n">
        <f aca="false">F804*(1-G804/100)-1.5</f>
        <v>1.5</v>
      </c>
      <c r="N804" s="47" t="n">
        <f aca="false">M804*E804</f>
        <v>7.5</v>
      </c>
    </row>
    <row r="805" customFormat="false" ht="16.5" hidden="false" customHeight="true" outlineLevel="0" collapsed="false">
      <c r="A805" s="42" t="n">
        <v>45733</v>
      </c>
      <c r="B805" s="24" t="s">
        <v>903</v>
      </c>
      <c r="C805" s="43" t="s">
        <v>29</v>
      </c>
      <c r="D805" s="43" t="s">
        <v>104</v>
      </c>
      <c r="E805" s="24" t="n">
        <v>2</v>
      </c>
      <c r="F805" s="44" t="n">
        <v>2.5</v>
      </c>
      <c r="G805" s="24" t="n">
        <v>0</v>
      </c>
      <c r="H805" s="24" t="n">
        <v>12</v>
      </c>
      <c r="I805" s="44" t="n">
        <f aca="false">E805*F805*(1-G805/100)*(1+H805/100)</f>
        <v>5.6</v>
      </c>
      <c r="J805" s="24" t="s">
        <v>34</v>
      </c>
      <c r="K805" s="24" t="s">
        <v>97</v>
      </c>
      <c r="L805" s="43" t="s">
        <v>91</v>
      </c>
      <c r="M805" s="44" t="n">
        <f aca="false">F805*(1-G805/100)-1.1</f>
        <v>1.4</v>
      </c>
      <c r="N805" s="44" t="n">
        <f aca="false">M805*E805</f>
        <v>2.8</v>
      </c>
    </row>
    <row r="806" customFormat="false" ht="16.5" hidden="false" customHeight="true" outlineLevel="0" collapsed="false">
      <c r="A806" s="45" t="n">
        <v>45734</v>
      </c>
      <c r="B806" s="28" t="s">
        <v>904</v>
      </c>
      <c r="C806" s="46" t="s">
        <v>29</v>
      </c>
      <c r="D806" s="46" t="s">
        <v>104</v>
      </c>
      <c r="E806" s="28" t="n">
        <v>2</v>
      </c>
      <c r="F806" s="47" t="n">
        <v>2.5</v>
      </c>
      <c r="G806" s="28" t="n">
        <v>0</v>
      </c>
      <c r="H806" s="28" t="n">
        <v>12</v>
      </c>
      <c r="I806" s="47" t="n">
        <f aca="false">E806*F806*(1-G806/100)*(1+H806/100)</f>
        <v>5.6</v>
      </c>
      <c r="J806" s="28" t="s">
        <v>34</v>
      </c>
      <c r="K806" s="28" t="s">
        <v>101</v>
      </c>
      <c r="L806" s="46" t="s">
        <v>91</v>
      </c>
      <c r="M806" s="47" t="n">
        <f aca="false">F806*(1-G806/100)-1.1</f>
        <v>1.4</v>
      </c>
      <c r="N806" s="47" t="n">
        <f aca="false">M806*E806</f>
        <v>2.8</v>
      </c>
    </row>
    <row r="807" customFormat="false" ht="16.5" hidden="false" customHeight="true" outlineLevel="0" collapsed="false">
      <c r="A807" s="42" t="n">
        <v>45734</v>
      </c>
      <c r="B807" s="24" t="s">
        <v>905</v>
      </c>
      <c r="C807" s="43" t="s">
        <v>113</v>
      </c>
      <c r="D807" s="43" t="s">
        <v>96</v>
      </c>
      <c r="E807" s="24" t="n">
        <v>3</v>
      </c>
      <c r="F807" s="44" t="n">
        <v>6</v>
      </c>
      <c r="G807" s="24" t="n">
        <v>0</v>
      </c>
      <c r="H807" s="24" t="n">
        <v>12</v>
      </c>
      <c r="I807" s="44" t="n">
        <f aca="false">E807*F807*(1-G807/100)*(1+H807/100)</f>
        <v>20.16</v>
      </c>
      <c r="J807" s="24" t="s">
        <v>32</v>
      </c>
      <c r="K807" s="24" t="s">
        <v>85</v>
      </c>
      <c r="L807" s="43" t="s">
        <v>111</v>
      </c>
      <c r="M807" s="44" t="n">
        <f aca="false">F807*(1-G807/100)-2.8</f>
        <v>3.2</v>
      </c>
      <c r="N807" s="44" t="n">
        <f aca="false">M807*E807</f>
        <v>9.6</v>
      </c>
    </row>
    <row r="808" customFormat="false" ht="16.5" hidden="false" customHeight="true" outlineLevel="0" collapsed="false">
      <c r="A808" s="45" t="n">
        <v>45734</v>
      </c>
      <c r="B808" s="28" t="s">
        <v>906</v>
      </c>
      <c r="C808" s="46" t="s">
        <v>33</v>
      </c>
      <c r="D808" s="46" t="s">
        <v>104</v>
      </c>
      <c r="E808" s="28" t="n">
        <v>5</v>
      </c>
      <c r="F808" s="47" t="n">
        <v>5</v>
      </c>
      <c r="G808" s="28" t="n">
        <v>0</v>
      </c>
      <c r="H808" s="28" t="n">
        <v>12</v>
      </c>
      <c r="I808" s="47" t="n">
        <f aca="false">E808*F808*(1-G808/100)*(1+H808/100)</f>
        <v>28</v>
      </c>
      <c r="J808" s="28" t="s">
        <v>32</v>
      </c>
      <c r="K808" s="28" t="s">
        <v>101</v>
      </c>
      <c r="L808" s="46" t="s">
        <v>91</v>
      </c>
      <c r="M808" s="47" t="n">
        <f aca="false">F808*(1-G808/100)-2.5</f>
        <v>2.5</v>
      </c>
      <c r="N808" s="47" t="n">
        <f aca="false">M808*E808</f>
        <v>12.5</v>
      </c>
    </row>
    <row r="809" customFormat="false" ht="16.5" hidden="false" customHeight="true" outlineLevel="0" collapsed="false">
      <c r="A809" s="42" t="n">
        <v>45734</v>
      </c>
      <c r="B809" s="24" t="s">
        <v>907</v>
      </c>
      <c r="C809" s="43" t="s">
        <v>25</v>
      </c>
      <c r="D809" s="43" t="s">
        <v>81</v>
      </c>
      <c r="E809" s="24" t="n">
        <v>2</v>
      </c>
      <c r="F809" s="44" t="n">
        <v>3.5</v>
      </c>
      <c r="G809" s="24" t="n">
        <v>10</v>
      </c>
      <c r="H809" s="24" t="n">
        <v>12</v>
      </c>
      <c r="I809" s="44" t="n">
        <f aca="false">E809*F809*(1-G809/100)*(1+H809/100)</f>
        <v>7.056</v>
      </c>
      <c r="J809" s="24" t="s">
        <v>34</v>
      </c>
      <c r="K809" s="24" t="s">
        <v>82</v>
      </c>
      <c r="L809" s="43" t="s">
        <v>83</v>
      </c>
      <c r="M809" s="44" t="n">
        <f aca="false">F809*(1-G809/100)-2.2</f>
        <v>0.95</v>
      </c>
      <c r="N809" s="44" t="n">
        <f aca="false">M809*E809</f>
        <v>1.9</v>
      </c>
    </row>
    <row r="810" customFormat="false" ht="16.5" hidden="false" customHeight="true" outlineLevel="0" collapsed="false">
      <c r="A810" s="45" t="n">
        <v>45734</v>
      </c>
      <c r="B810" s="28" t="s">
        <v>908</v>
      </c>
      <c r="C810" s="46" t="s">
        <v>124</v>
      </c>
      <c r="D810" s="46" t="s">
        <v>96</v>
      </c>
      <c r="E810" s="28" t="n">
        <v>1</v>
      </c>
      <c r="F810" s="47" t="n">
        <v>4</v>
      </c>
      <c r="G810" s="28" t="n">
        <v>10</v>
      </c>
      <c r="H810" s="28" t="n">
        <v>12</v>
      </c>
      <c r="I810" s="47" t="n">
        <f aca="false">E810*F810*(1-G810/100)*(1+H810/100)</f>
        <v>4.032</v>
      </c>
      <c r="J810" s="28" t="s">
        <v>26</v>
      </c>
      <c r="K810" s="28" t="s">
        <v>101</v>
      </c>
      <c r="L810" s="46" t="s">
        <v>83</v>
      </c>
      <c r="M810" s="47" t="n">
        <f aca="false">F810*(1-G810/100)-1.8</f>
        <v>1.8</v>
      </c>
      <c r="N810" s="47" t="n">
        <f aca="false">M810*E810</f>
        <v>1.8</v>
      </c>
    </row>
    <row r="811" customFormat="false" ht="16.5" hidden="false" customHeight="true" outlineLevel="0" collapsed="false">
      <c r="A811" s="42" t="n">
        <v>45734</v>
      </c>
      <c r="B811" s="24" t="s">
        <v>909</v>
      </c>
      <c r="C811" s="43" t="s">
        <v>35</v>
      </c>
      <c r="D811" s="43" t="s">
        <v>81</v>
      </c>
      <c r="E811" s="24" t="n">
        <v>2</v>
      </c>
      <c r="F811" s="44" t="n">
        <v>1.5</v>
      </c>
      <c r="G811" s="24" t="n">
        <v>10</v>
      </c>
      <c r="H811" s="24" t="n">
        <v>12</v>
      </c>
      <c r="I811" s="44" t="n">
        <f aca="false">E811*F811*(1-G811/100)*(1+H811/100)</f>
        <v>3.024</v>
      </c>
      <c r="J811" s="24" t="s">
        <v>32</v>
      </c>
      <c r="K811" s="24" t="s">
        <v>88</v>
      </c>
      <c r="L811" s="43" t="s">
        <v>89</v>
      </c>
      <c r="M811" s="44" t="n">
        <f aca="false">F811*(1-G811/100)-0.6</f>
        <v>0.75</v>
      </c>
      <c r="N811" s="44" t="n">
        <f aca="false">M811*E811</f>
        <v>1.5</v>
      </c>
    </row>
    <row r="812" customFormat="false" ht="16.5" hidden="false" customHeight="true" outlineLevel="0" collapsed="false">
      <c r="A812" s="45" t="n">
        <v>45734</v>
      </c>
      <c r="B812" s="28" t="s">
        <v>910</v>
      </c>
      <c r="C812" s="46" t="s">
        <v>25</v>
      </c>
      <c r="D812" s="46" t="s">
        <v>81</v>
      </c>
      <c r="E812" s="28" t="n">
        <v>3</v>
      </c>
      <c r="F812" s="47" t="n">
        <v>3.5</v>
      </c>
      <c r="G812" s="28" t="n">
        <v>0</v>
      </c>
      <c r="H812" s="28" t="n">
        <v>12</v>
      </c>
      <c r="I812" s="47" t="n">
        <f aca="false">E812*F812*(1-G812/100)*(1+H812/100)</f>
        <v>11.76</v>
      </c>
      <c r="J812" s="28" t="s">
        <v>26</v>
      </c>
      <c r="K812" s="28" t="s">
        <v>85</v>
      </c>
      <c r="L812" s="46" t="s">
        <v>89</v>
      </c>
      <c r="M812" s="47" t="n">
        <f aca="false">F812*(1-G812/100)-2.2</f>
        <v>1.3</v>
      </c>
      <c r="N812" s="47" t="n">
        <f aca="false">M812*E812</f>
        <v>3.9</v>
      </c>
    </row>
    <row r="813" customFormat="false" ht="16.5" hidden="false" customHeight="true" outlineLevel="0" collapsed="false">
      <c r="A813" s="42" t="n">
        <v>45735</v>
      </c>
      <c r="B813" s="24" t="s">
        <v>911</v>
      </c>
      <c r="C813" s="43" t="s">
        <v>93</v>
      </c>
      <c r="D813" s="43" t="s">
        <v>81</v>
      </c>
      <c r="E813" s="24" t="n">
        <v>2</v>
      </c>
      <c r="F813" s="44" t="n">
        <v>3</v>
      </c>
      <c r="G813" s="24" t="n">
        <v>0</v>
      </c>
      <c r="H813" s="24" t="n">
        <v>12</v>
      </c>
      <c r="I813" s="44" t="n">
        <f aca="false">E813*F813*(1-G813/100)*(1+H813/100)</f>
        <v>6.72</v>
      </c>
      <c r="J813" s="24" t="s">
        <v>32</v>
      </c>
      <c r="K813" s="24" t="s">
        <v>88</v>
      </c>
      <c r="L813" s="43" t="s">
        <v>83</v>
      </c>
      <c r="M813" s="44" t="n">
        <f aca="false">F813*(1-G813/100)-1.5</f>
        <v>1.5</v>
      </c>
      <c r="N813" s="44" t="n">
        <f aca="false">M813*E813</f>
        <v>3</v>
      </c>
    </row>
    <row r="814" customFormat="false" ht="16.5" hidden="false" customHeight="true" outlineLevel="0" collapsed="false">
      <c r="A814" s="45" t="n">
        <v>45735</v>
      </c>
      <c r="B814" s="28" t="s">
        <v>912</v>
      </c>
      <c r="C814" s="46" t="s">
        <v>109</v>
      </c>
      <c r="D814" s="46" t="s">
        <v>110</v>
      </c>
      <c r="E814" s="28" t="n">
        <v>2</v>
      </c>
      <c r="F814" s="47" t="n">
        <v>3.5</v>
      </c>
      <c r="G814" s="28" t="n">
        <v>10</v>
      </c>
      <c r="H814" s="28" t="n">
        <v>12</v>
      </c>
      <c r="I814" s="47" t="n">
        <f aca="false">E814*F814*(1-G814/100)*(1+H814/100)</f>
        <v>7.056</v>
      </c>
      <c r="J814" s="28" t="s">
        <v>34</v>
      </c>
      <c r="K814" s="28" t="s">
        <v>97</v>
      </c>
      <c r="L814" s="46" t="s">
        <v>83</v>
      </c>
      <c r="M814" s="47" t="n">
        <f aca="false">F814*(1-G814/100)-1.4</f>
        <v>1.75</v>
      </c>
      <c r="N814" s="47" t="n">
        <f aca="false">M814*E814</f>
        <v>3.5</v>
      </c>
    </row>
    <row r="815" customFormat="false" ht="16.5" hidden="false" customHeight="true" outlineLevel="0" collapsed="false">
      <c r="A815" s="42" t="n">
        <v>45735</v>
      </c>
      <c r="B815" s="24" t="s">
        <v>913</v>
      </c>
      <c r="C815" s="43" t="s">
        <v>36</v>
      </c>
      <c r="D815" s="43" t="s">
        <v>96</v>
      </c>
      <c r="E815" s="24" t="n">
        <v>4</v>
      </c>
      <c r="F815" s="44" t="n">
        <v>8.5</v>
      </c>
      <c r="G815" s="24" t="n">
        <v>10</v>
      </c>
      <c r="H815" s="24" t="n">
        <v>12</v>
      </c>
      <c r="I815" s="44" t="n">
        <f aca="false">E815*F815*(1-G815/100)*(1+H815/100)</f>
        <v>34.272</v>
      </c>
      <c r="J815" s="24" t="s">
        <v>34</v>
      </c>
      <c r="K815" s="24" t="s">
        <v>101</v>
      </c>
      <c r="L815" s="43" t="s">
        <v>91</v>
      </c>
      <c r="M815" s="44" t="n">
        <f aca="false">F815*(1-G815/100)-4.2</f>
        <v>3.45</v>
      </c>
      <c r="N815" s="44" t="n">
        <f aca="false">M815*E815</f>
        <v>13.8</v>
      </c>
    </row>
    <row r="816" customFormat="false" ht="16.5" hidden="false" customHeight="true" outlineLevel="0" collapsed="false">
      <c r="A816" s="45" t="n">
        <v>45735</v>
      </c>
      <c r="B816" s="28" t="s">
        <v>914</v>
      </c>
      <c r="C816" s="46" t="s">
        <v>113</v>
      </c>
      <c r="D816" s="46" t="s">
        <v>96</v>
      </c>
      <c r="E816" s="28" t="n">
        <v>4</v>
      </c>
      <c r="F816" s="47" t="n">
        <v>6</v>
      </c>
      <c r="G816" s="28" t="n">
        <v>0</v>
      </c>
      <c r="H816" s="28" t="n">
        <v>12</v>
      </c>
      <c r="I816" s="47" t="n">
        <f aca="false">E816*F816*(1-G816/100)*(1+H816/100)</f>
        <v>26.88</v>
      </c>
      <c r="J816" s="28" t="s">
        <v>24</v>
      </c>
      <c r="K816" s="28" t="s">
        <v>101</v>
      </c>
      <c r="L816" s="46" t="s">
        <v>91</v>
      </c>
      <c r="M816" s="47" t="n">
        <f aca="false">F816*(1-G816/100)-2.8</f>
        <v>3.2</v>
      </c>
      <c r="N816" s="47" t="n">
        <f aca="false">M816*E816</f>
        <v>12.8</v>
      </c>
    </row>
    <row r="817" customFormat="false" ht="16.5" hidden="false" customHeight="true" outlineLevel="0" collapsed="false">
      <c r="A817" s="42" t="n">
        <v>45735</v>
      </c>
      <c r="B817" s="24" t="s">
        <v>915</v>
      </c>
      <c r="C817" s="43" t="s">
        <v>124</v>
      </c>
      <c r="D817" s="43" t="s">
        <v>96</v>
      </c>
      <c r="E817" s="24" t="n">
        <v>5</v>
      </c>
      <c r="F817" s="44" t="n">
        <v>4</v>
      </c>
      <c r="G817" s="24" t="n">
        <v>5</v>
      </c>
      <c r="H817" s="24" t="n">
        <v>12</v>
      </c>
      <c r="I817" s="44" t="n">
        <f aca="false">E817*F817*(1-G817/100)*(1+H817/100)</f>
        <v>21.28</v>
      </c>
      <c r="J817" s="24" t="s">
        <v>26</v>
      </c>
      <c r="K817" s="24" t="s">
        <v>88</v>
      </c>
      <c r="L817" s="43" t="s">
        <v>98</v>
      </c>
      <c r="M817" s="44" t="n">
        <f aca="false">F817*(1-G817/100)-1.8</f>
        <v>2</v>
      </c>
      <c r="N817" s="44" t="n">
        <f aca="false">M817*E817</f>
        <v>10</v>
      </c>
    </row>
    <row r="818" customFormat="false" ht="16.5" hidden="false" customHeight="true" outlineLevel="0" collapsed="false">
      <c r="A818" s="45" t="n">
        <v>45735</v>
      </c>
      <c r="B818" s="28" t="s">
        <v>916</v>
      </c>
      <c r="C818" s="46" t="s">
        <v>29</v>
      </c>
      <c r="D818" s="46" t="s">
        <v>104</v>
      </c>
      <c r="E818" s="28" t="n">
        <v>4</v>
      </c>
      <c r="F818" s="47" t="n">
        <v>2.5</v>
      </c>
      <c r="G818" s="28" t="n">
        <v>10</v>
      </c>
      <c r="H818" s="28" t="n">
        <v>12</v>
      </c>
      <c r="I818" s="47" t="n">
        <f aca="false">E818*F818*(1-G818/100)*(1+H818/100)</f>
        <v>10.08</v>
      </c>
      <c r="J818" s="28" t="s">
        <v>34</v>
      </c>
      <c r="K818" s="28" t="s">
        <v>101</v>
      </c>
      <c r="L818" s="46" t="s">
        <v>117</v>
      </c>
      <c r="M818" s="47" t="n">
        <f aca="false">F818*(1-G818/100)-1.1</f>
        <v>1.15</v>
      </c>
      <c r="N818" s="47" t="n">
        <f aca="false">M818*E818</f>
        <v>4.6</v>
      </c>
    </row>
    <row r="819" customFormat="false" ht="16.5" hidden="false" customHeight="true" outlineLevel="0" collapsed="false">
      <c r="A819" s="42" t="n">
        <v>45735</v>
      </c>
      <c r="B819" s="24" t="s">
        <v>917</v>
      </c>
      <c r="C819" s="43" t="s">
        <v>124</v>
      </c>
      <c r="D819" s="43" t="s">
        <v>96</v>
      </c>
      <c r="E819" s="24" t="n">
        <v>1</v>
      </c>
      <c r="F819" s="44" t="n">
        <v>4</v>
      </c>
      <c r="G819" s="24" t="n">
        <v>0</v>
      </c>
      <c r="H819" s="24" t="n">
        <v>12</v>
      </c>
      <c r="I819" s="44" t="n">
        <f aca="false">E819*F819*(1-G819/100)*(1+H819/100)</f>
        <v>4.48</v>
      </c>
      <c r="J819" s="24" t="s">
        <v>32</v>
      </c>
      <c r="K819" s="24" t="s">
        <v>82</v>
      </c>
      <c r="L819" s="43" t="s">
        <v>89</v>
      </c>
      <c r="M819" s="44" t="n">
        <f aca="false">F819*(1-G819/100)-1.8</f>
        <v>2.2</v>
      </c>
      <c r="N819" s="44" t="n">
        <f aca="false">M819*E819</f>
        <v>2.2</v>
      </c>
    </row>
    <row r="820" customFormat="false" ht="16.5" hidden="false" customHeight="true" outlineLevel="0" collapsed="false">
      <c r="A820" s="45" t="n">
        <v>45735</v>
      </c>
      <c r="B820" s="28" t="s">
        <v>918</v>
      </c>
      <c r="C820" s="46" t="s">
        <v>124</v>
      </c>
      <c r="D820" s="46" t="s">
        <v>96</v>
      </c>
      <c r="E820" s="28" t="n">
        <v>1</v>
      </c>
      <c r="F820" s="47" t="n">
        <v>4</v>
      </c>
      <c r="G820" s="28" t="n">
        <v>5</v>
      </c>
      <c r="H820" s="28" t="n">
        <v>12</v>
      </c>
      <c r="I820" s="47" t="n">
        <f aca="false">E820*F820*(1-G820/100)*(1+H820/100)</f>
        <v>4.256</v>
      </c>
      <c r="J820" s="28" t="s">
        <v>34</v>
      </c>
      <c r="K820" s="28" t="s">
        <v>85</v>
      </c>
      <c r="L820" s="46" t="s">
        <v>106</v>
      </c>
      <c r="M820" s="47" t="n">
        <f aca="false">F820*(1-G820/100)-1.8</f>
        <v>2</v>
      </c>
      <c r="N820" s="47" t="n">
        <f aca="false">M820*E820</f>
        <v>2</v>
      </c>
    </row>
    <row r="821" customFormat="false" ht="16.5" hidden="false" customHeight="true" outlineLevel="0" collapsed="false">
      <c r="A821" s="42" t="n">
        <v>45735</v>
      </c>
      <c r="B821" s="24" t="s">
        <v>919</v>
      </c>
      <c r="C821" s="43" t="s">
        <v>25</v>
      </c>
      <c r="D821" s="43" t="s">
        <v>81</v>
      </c>
      <c r="E821" s="24" t="n">
        <v>5</v>
      </c>
      <c r="F821" s="44" t="n">
        <v>3.5</v>
      </c>
      <c r="G821" s="24" t="n">
        <v>5</v>
      </c>
      <c r="H821" s="24" t="n">
        <v>12</v>
      </c>
      <c r="I821" s="44" t="n">
        <f aca="false">E821*F821*(1-G821/100)*(1+H821/100)</f>
        <v>18.62</v>
      </c>
      <c r="J821" s="24" t="s">
        <v>26</v>
      </c>
      <c r="K821" s="24" t="s">
        <v>85</v>
      </c>
      <c r="L821" s="43" t="s">
        <v>94</v>
      </c>
      <c r="M821" s="44" t="n">
        <f aca="false">F821*(1-G821/100)-2.2</f>
        <v>1.125</v>
      </c>
      <c r="N821" s="44" t="n">
        <f aca="false">M821*E821</f>
        <v>5.625</v>
      </c>
    </row>
    <row r="822" customFormat="false" ht="16.5" hidden="false" customHeight="true" outlineLevel="0" collapsed="false">
      <c r="A822" s="45" t="n">
        <v>45735</v>
      </c>
      <c r="B822" s="28" t="s">
        <v>920</v>
      </c>
      <c r="C822" s="46" t="s">
        <v>36</v>
      </c>
      <c r="D822" s="46" t="s">
        <v>96</v>
      </c>
      <c r="E822" s="28" t="n">
        <v>5</v>
      </c>
      <c r="F822" s="47" t="n">
        <v>8.5</v>
      </c>
      <c r="G822" s="28" t="n">
        <v>10</v>
      </c>
      <c r="H822" s="28" t="n">
        <v>12</v>
      </c>
      <c r="I822" s="47" t="n">
        <f aca="false">E822*F822*(1-G822/100)*(1+H822/100)</f>
        <v>42.84</v>
      </c>
      <c r="J822" s="28" t="s">
        <v>24</v>
      </c>
      <c r="K822" s="28" t="s">
        <v>85</v>
      </c>
      <c r="L822" s="46" t="s">
        <v>83</v>
      </c>
      <c r="M822" s="47" t="n">
        <f aca="false">F822*(1-G822/100)-4.2</f>
        <v>3.45</v>
      </c>
      <c r="N822" s="47" t="n">
        <f aca="false">M822*E822</f>
        <v>17.25</v>
      </c>
    </row>
    <row r="823" customFormat="false" ht="16.5" hidden="false" customHeight="true" outlineLevel="0" collapsed="false">
      <c r="A823" s="42" t="n">
        <v>45735</v>
      </c>
      <c r="B823" s="24" t="s">
        <v>921</v>
      </c>
      <c r="C823" s="43" t="s">
        <v>35</v>
      </c>
      <c r="D823" s="43" t="s">
        <v>81</v>
      </c>
      <c r="E823" s="24" t="n">
        <v>4</v>
      </c>
      <c r="F823" s="44" t="n">
        <v>1.5</v>
      </c>
      <c r="G823" s="24" t="n">
        <v>0</v>
      </c>
      <c r="H823" s="24" t="n">
        <v>12</v>
      </c>
      <c r="I823" s="44" t="n">
        <f aca="false">E823*F823*(1-G823/100)*(1+H823/100)</f>
        <v>6.72</v>
      </c>
      <c r="J823" s="24" t="s">
        <v>24</v>
      </c>
      <c r="K823" s="24" t="s">
        <v>97</v>
      </c>
      <c r="L823" s="43" t="s">
        <v>89</v>
      </c>
      <c r="M823" s="44" t="n">
        <f aca="false">F823*(1-G823/100)-0.6</f>
        <v>0.9</v>
      </c>
      <c r="N823" s="44" t="n">
        <f aca="false">M823*E823</f>
        <v>3.6</v>
      </c>
    </row>
    <row r="824" customFormat="false" ht="16.5" hidden="false" customHeight="true" outlineLevel="0" collapsed="false">
      <c r="A824" s="45" t="n">
        <v>45735</v>
      </c>
      <c r="B824" s="28" t="s">
        <v>922</v>
      </c>
      <c r="C824" s="46" t="s">
        <v>124</v>
      </c>
      <c r="D824" s="46" t="s">
        <v>96</v>
      </c>
      <c r="E824" s="28" t="n">
        <v>4</v>
      </c>
      <c r="F824" s="47" t="n">
        <v>4</v>
      </c>
      <c r="G824" s="28" t="n">
        <v>0</v>
      </c>
      <c r="H824" s="28" t="n">
        <v>12</v>
      </c>
      <c r="I824" s="47" t="n">
        <f aca="false">E824*F824*(1-G824/100)*(1+H824/100)</f>
        <v>17.92</v>
      </c>
      <c r="J824" s="28" t="s">
        <v>26</v>
      </c>
      <c r="K824" s="28" t="s">
        <v>101</v>
      </c>
      <c r="L824" s="46" t="s">
        <v>86</v>
      </c>
      <c r="M824" s="47" t="n">
        <f aca="false">F824*(1-G824/100)-1.8</f>
        <v>2.2</v>
      </c>
      <c r="N824" s="47" t="n">
        <f aca="false">M824*E824</f>
        <v>8.8</v>
      </c>
    </row>
    <row r="825" customFormat="false" ht="16.5" hidden="false" customHeight="true" outlineLevel="0" collapsed="false">
      <c r="A825" s="42" t="n">
        <v>45736</v>
      </c>
      <c r="B825" s="24" t="s">
        <v>923</v>
      </c>
      <c r="C825" s="43" t="s">
        <v>124</v>
      </c>
      <c r="D825" s="43" t="s">
        <v>96</v>
      </c>
      <c r="E825" s="24" t="n">
        <v>1</v>
      </c>
      <c r="F825" s="44" t="n">
        <v>4</v>
      </c>
      <c r="G825" s="24" t="n">
        <v>10</v>
      </c>
      <c r="H825" s="24" t="n">
        <v>12</v>
      </c>
      <c r="I825" s="44" t="n">
        <f aca="false">E825*F825*(1-G825/100)*(1+H825/100)</f>
        <v>4.032</v>
      </c>
      <c r="J825" s="24" t="s">
        <v>24</v>
      </c>
      <c r="K825" s="24" t="s">
        <v>85</v>
      </c>
      <c r="L825" s="43" t="s">
        <v>91</v>
      </c>
      <c r="M825" s="44" t="n">
        <f aca="false">F825*(1-G825/100)-1.8</f>
        <v>1.8</v>
      </c>
      <c r="N825" s="44" t="n">
        <f aca="false">M825*E825</f>
        <v>1.8</v>
      </c>
    </row>
    <row r="826" customFormat="false" ht="16.5" hidden="false" customHeight="true" outlineLevel="0" collapsed="false">
      <c r="A826" s="45" t="n">
        <v>45736</v>
      </c>
      <c r="B826" s="28" t="s">
        <v>924</v>
      </c>
      <c r="C826" s="46" t="s">
        <v>36</v>
      </c>
      <c r="D826" s="46" t="s">
        <v>96</v>
      </c>
      <c r="E826" s="28" t="n">
        <v>4</v>
      </c>
      <c r="F826" s="47" t="n">
        <v>8.5</v>
      </c>
      <c r="G826" s="28" t="n">
        <v>0</v>
      </c>
      <c r="H826" s="28" t="n">
        <v>12</v>
      </c>
      <c r="I826" s="47" t="n">
        <f aca="false">E826*F826*(1-G826/100)*(1+H826/100)</f>
        <v>38.08</v>
      </c>
      <c r="J826" s="28" t="s">
        <v>24</v>
      </c>
      <c r="K826" s="28" t="s">
        <v>82</v>
      </c>
      <c r="L826" s="46" t="s">
        <v>94</v>
      </c>
      <c r="M826" s="47" t="n">
        <f aca="false">F826*(1-G826/100)-4.2</f>
        <v>4.3</v>
      </c>
      <c r="N826" s="47" t="n">
        <f aca="false">M826*E826</f>
        <v>17.2</v>
      </c>
    </row>
    <row r="827" customFormat="false" ht="16.5" hidden="false" customHeight="true" outlineLevel="0" collapsed="false">
      <c r="A827" s="42" t="n">
        <v>45736</v>
      </c>
      <c r="B827" s="24" t="s">
        <v>925</v>
      </c>
      <c r="C827" s="43" t="s">
        <v>109</v>
      </c>
      <c r="D827" s="43" t="s">
        <v>110</v>
      </c>
      <c r="E827" s="24" t="n">
        <v>3</v>
      </c>
      <c r="F827" s="44" t="n">
        <v>3.5</v>
      </c>
      <c r="G827" s="24" t="n">
        <v>0</v>
      </c>
      <c r="H827" s="24" t="n">
        <v>12</v>
      </c>
      <c r="I827" s="44" t="n">
        <f aca="false">E827*F827*(1-G827/100)*(1+H827/100)</f>
        <v>11.76</v>
      </c>
      <c r="J827" s="24" t="s">
        <v>34</v>
      </c>
      <c r="K827" s="24" t="s">
        <v>85</v>
      </c>
      <c r="L827" s="43" t="s">
        <v>89</v>
      </c>
      <c r="M827" s="44" t="n">
        <f aca="false">F827*(1-G827/100)-1.4</f>
        <v>2.1</v>
      </c>
      <c r="N827" s="44" t="n">
        <f aca="false">M827*E827</f>
        <v>6.3</v>
      </c>
    </row>
    <row r="828" customFormat="false" ht="16.5" hidden="false" customHeight="true" outlineLevel="0" collapsed="false">
      <c r="A828" s="45" t="n">
        <v>45736</v>
      </c>
      <c r="B828" s="28" t="s">
        <v>926</v>
      </c>
      <c r="C828" s="46" t="s">
        <v>36</v>
      </c>
      <c r="D828" s="46" t="s">
        <v>96</v>
      </c>
      <c r="E828" s="28" t="n">
        <v>5</v>
      </c>
      <c r="F828" s="47" t="n">
        <v>8.5</v>
      </c>
      <c r="G828" s="28" t="n">
        <v>0</v>
      </c>
      <c r="H828" s="28" t="n">
        <v>12</v>
      </c>
      <c r="I828" s="47" t="n">
        <f aca="false">E828*F828*(1-G828/100)*(1+H828/100)</f>
        <v>47.6</v>
      </c>
      <c r="J828" s="28" t="s">
        <v>32</v>
      </c>
      <c r="K828" s="28" t="s">
        <v>82</v>
      </c>
      <c r="L828" s="46" t="s">
        <v>94</v>
      </c>
      <c r="M828" s="47" t="n">
        <f aca="false">F828*(1-G828/100)-4.2</f>
        <v>4.3</v>
      </c>
      <c r="N828" s="47" t="n">
        <f aca="false">M828*E828</f>
        <v>21.5</v>
      </c>
    </row>
    <row r="829" customFormat="false" ht="16.5" hidden="false" customHeight="true" outlineLevel="0" collapsed="false">
      <c r="A829" s="42" t="n">
        <v>45736</v>
      </c>
      <c r="B829" s="24" t="s">
        <v>927</v>
      </c>
      <c r="C829" s="43" t="s">
        <v>124</v>
      </c>
      <c r="D829" s="43" t="s">
        <v>96</v>
      </c>
      <c r="E829" s="24" t="n">
        <v>5</v>
      </c>
      <c r="F829" s="44" t="n">
        <v>4</v>
      </c>
      <c r="G829" s="24" t="n">
        <v>5</v>
      </c>
      <c r="H829" s="24" t="n">
        <v>12</v>
      </c>
      <c r="I829" s="44" t="n">
        <f aca="false">E829*F829*(1-G829/100)*(1+H829/100)</f>
        <v>21.28</v>
      </c>
      <c r="J829" s="24" t="s">
        <v>26</v>
      </c>
      <c r="K829" s="24" t="s">
        <v>97</v>
      </c>
      <c r="L829" s="43" t="s">
        <v>117</v>
      </c>
      <c r="M829" s="44" t="n">
        <f aca="false">F829*(1-G829/100)-1.8</f>
        <v>2</v>
      </c>
      <c r="N829" s="44" t="n">
        <f aca="false">M829*E829</f>
        <v>10</v>
      </c>
    </row>
    <row r="830" customFormat="false" ht="16.5" hidden="false" customHeight="true" outlineLevel="0" collapsed="false">
      <c r="A830" s="45" t="n">
        <v>45736</v>
      </c>
      <c r="B830" s="28" t="s">
        <v>928</v>
      </c>
      <c r="C830" s="46" t="s">
        <v>124</v>
      </c>
      <c r="D830" s="46" t="s">
        <v>96</v>
      </c>
      <c r="E830" s="28" t="n">
        <v>4</v>
      </c>
      <c r="F830" s="47" t="n">
        <v>4</v>
      </c>
      <c r="G830" s="28" t="n">
        <v>0</v>
      </c>
      <c r="H830" s="28" t="n">
        <v>12</v>
      </c>
      <c r="I830" s="47" t="n">
        <f aca="false">E830*F830*(1-G830/100)*(1+H830/100)</f>
        <v>17.92</v>
      </c>
      <c r="J830" s="28" t="s">
        <v>28</v>
      </c>
      <c r="K830" s="28" t="s">
        <v>88</v>
      </c>
      <c r="L830" s="46" t="s">
        <v>106</v>
      </c>
      <c r="M830" s="47" t="n">
        <f aca="false">F830*(1-G830/100)-1.8</f>
        <v>2.2</v>
      </c>
      <c r="N830" s="47" t="n">
        <f aca="false">M830*E830</f>
        <v>8.8</v>
      </c>
    </row>
    <row r="831" customFormat="false" ht="16.5" hidden="false" customHeight="true" outlineLevel="0" collapsed="false">
      <c r="A831" s="42" t="n">
        <v>45736</v>
      </c>
      <c r="B831" s="24" t="s">
        <v>929</v>
      </c>
      <c r="C831" s="43" t="s">
        <v>113</v>
      </c>
      <c r="D831" s="43" t="s">
        <v>96</v>
      </c>
      <c r="E831" s="24" t="n">
        <v>2</v>
      </c>
      <c r="F831" s="44" t="n">
        <v>6</v>
      </c>
      <c r="G831" s="24" t="n">
        <v>0</v>
      </c>
      <c r="H831" s="24" t="n">
        <v>12</v>
      </c>
      <c r="I831" s="44" t="n">
        <f aca="false">E831*F831*(1-G831/100)*(1+H831/100)</f>
        <v>13.44</v>
      </c>
      <c r="J831" s="24" t="s">
        <v>26</v>
      </c>
      <c r="K831" s="24" t="s">
        <v>85</v>
      </c>
      <c r="L831" s="43" t="s">
        <v>83</v>
      </c>
      <c r="M831" s="44" t="n">
        <f aca="false">F831*(1-G831/100)-2.8</f>
        <v>3.2</v>
      </c>
      <c r="N831" s="44" t="n">
        <f aca="false">M831*E831</f>
        <v>6.4</v>
      </c>
    </row>
    <row r="832" customFormat="false" ht="16.5" hidden="false" customHeight="true" outlineLevel="0" collapsed="false">
      <c r="A832" s="45" t="n">
        <v>45736</v>
      </c>
      <c r="B832" s="28" t="s">
        <v>930</v>
      </c>
      <c r="C832" s="46" t="s">
        <v>27</v>
      </c>
      <c r="D832" s="46" t="s">
        <v>81</v>
      </c>
      <c r="E832" s="28" t="n">
        <v>2</v>
      </c>
      <c r="F832" s="47" t="n">
        <v>4.5</v>
      </c>
      <c r="G832" s="28" t="n">
        <v>10</v>
      </c>
      <c r="H832" s="28" t="n">
        <v>12</v>
      </c>
      <c r="I832" s="47" t="n">
        <f aca="false">E832*F832*(1-G832/100)*(1+H832/100)</f>
        <v>9.072</v>
      </c>
      <c r="J832" s="28" t="s">
        <v>32</v>
      </c>
      <c r="K832" s="28" t="s">
        <v>97</v>
      </c>
      <c r="L832" s="46" t="s">
        <v>117</v>
      </c>
      <c r="M832" s="47" t="n">
        <f aca="false">F832*(1-G832/100)-2.8</f>
        <v>1.25</v>
      </c>
      <c r="N832" s="47" t="n">
        <f aca="false">M832*E832</f>
        <v>2.5</v>
      </c>
    </row>
    <row r="833" customFormat="false" ht="16.5" hidden="false" customHeight="true" outlineLevel="0" collapsed="false">
      <c r="A833" s="42" t="n">
        <v>45736</v>
      </c>
      <c r="B833" s="24" t="s">
        <v>931</v>
      </c>
      <c r="C833" s="43" t="s">
        <v>109</v>
      </c>
      <c r="D833" s="43" t="s">
        <v>110</v>
      </c>
      <c r="E833" s="24" t="n">
        <v>1</v>
      </c>
      <c r="F833" s="44" t="n">
        <v>3.5</v>
      </c>
      <c r="G833" s="24" t="n">
        <v>0</v>
      </c>
      <c r="H833" s="24" t="n">
        <v>12</v>
      </c>
      <c r="I833" s="44" t="n">
        <f aca="false">E833*F833*(1-G833/100)*(1+H833/100)</f>
        <v>3.92</v>
      </c>
      <c r="J833" s="24" t="s">
        <v>32</v>
      </c>
      <c r="K833" s="24" t="s">
        <v>101</v>
      </c>
      <c r="L833" s="43" t="s">
        <v>98</v>
      </c>
      <c r="M833" s="44" t="n">
        <f aca="false">F833*(1-G833/100)-1.4</f>
        <v>2.1</v>
      </c>
      <c r="N833" s="44" t="n">
        <f aca="false">M833*E833</f>
        <v>2.1</v>
      </c>
    </row>
    <row r="834" customFormat="false" ht="16.5" hidden="false" customHeight="true" outlineLevel="0" collapsed="false">
      <c r="A834" s="45" t="n">
        <v>45736</v>
      </c>
      <c r="B834" s="28" t="s">
        <v>932</v>
      </c>
      <c r="C834" s="46" t="s">
        <v>29</v>
      </c>
      <c r="D834" s="46" t="s">
        <v>104</v>
      </c>
      <c r="E834" s="28" t="n">
        <v>4</v>
      </c>
      <c r="F834" s="47" t="n">
        <v>2.5</v>
      </c>
      <c r="G834" s="28" t="n">
        <v>10</v>
      </c>
      <c r="H834" s="28" t="n">
        <v>12</v>
      </c>
      <c r="I834" s="47" t="n">
        <f aca="false">E834*F834*(1-G834/100)*(1+H834/100)</f>
        <v>10.08</v>
      </c>
      <c r="J834" s="28" t="s">
        <v>32</v>
      </c>
      <c r="K834" s="28" t="s">
        <v>101</v>
      </c>
      <c r="L834" s="46" t="s">
        <v>98</v>
      </c>
      <c r="M834" s="47" t="n">
        <f aca="false">F834*(1-G834/100)-1.1</f>
        <v>1.15</v>
      </c>
      <c r="N834" s="47" t="n">
        <f aca="false">M834*E834</f>
        <v>4.6</v>
      </c>
    </row>
    <row r="835" customFormat="false" ht="16.5" hidden="false" customHeight="true" outlineLevel="0" collapsed="false">
      <c r="A835" s="42" t="n">
        <v>45736</v>
      </c>
      <c r="B835" s="24" t="s">
        <v>933</v>
      </c>
      <c r="C835" s="43" t="s">
        <v>35</v>
      </c>
      <c r="D835" s="43" t="s">
        <v>81</v>
      </c>
      <c r="E835" s="24" t="n">
        <v>2</v>
      </c>
      <c r="F835" s="44" t="n">
        <v>1.5</v>
      </c>
      <c r="G835" s="24" t="n">
        <v>0</v>
      </c>
      <c r="H835" s="24" t="n">
        <v>12</v>
      </c>
      <c r="I835" s="44" t="n">
        <f aca="false">E835*F835*(1-G835/100)*(1+H835/100)</f>
        <v>3.36</v>
      </c>
      <c r="J835" s="24" t="s">
        <v>24</v>
      </c>
      <c r="K835" s="24" t="s">
        <v>88</v>
      </c>
      <c r="L835" s="43" t="s">
        <v>86</v>
      </c>
      <c r="M835" s="44" t="n">
        <f aca="false">F835*(1-G835/100)-0.6</f>
        <v>0.9</v>
      </c>
      <c r="N835" s="44" t="n">
        <f aca="false">M835*E835</f>
        <v>1.8</v>
      </c>
    </row>
    <row r="836" customFormat="false" ht="16.5" hidden="false" customHeight="true" outlineLevel="0" collapsed="false">
      <c r="A836" s="45" t="n">
        <v>45736</v>
      </c>
      <c r="B836" s="28" t="s">
        <v>934</v>
      </c>
      <c r="C836" s="46" t="s">
        <v>113</v>
      </c>
      <c r="D836" s="46" t="s">
        <v>96</v>
      </c>
      <c r="E836" s="28" t="n">
        <v>4</v>
      </c>
      <c r="F836" s="47" t="n">
        <v>6</v>
      </c>
      <c r="G836" s="28" t="n">
        <v>10</v>
      </c>
      <c r="H836" s="28" t="n">
        <v>12</v>
      </c>
      <c r="I836" s="47" t="n">
        <f aca="false">E836*F836*(1-G836/100)*(1+H836/100)</f>
        <v>24.192</v>
      </c>
      <c r="J836" s="28" t="s">
        <v>34</v>
      </c>
      <c r="K836" s="28" t="s">
        <v>97</v>
      </c>
      <c r="L836" s="46" t="s">
        <v>89</v>
      </c>
      <c r="M836" s="47" t="n">
        <f aca="false">F836*(1-G836/100)-2.8</f>
        <v>2.6</v>
      </c>
      <c r="N836" s="47" t="n">
        <f aca="false">M836*E836</f>
        <v>10.4</v>
      </c>
    </row>
    <row r="837" customFormat="false" ht="16.5" hidden="false" customHeight="true" outlineLevel="0" collapsed="false">
      <c r="A837" s="42" t="n">
        <v>45736</v>
      </c>
      <c r="B837" s="24" t="s">
        <v>935</v>
      </c>
      <c r="C837" s="43" t="s">
        <v>25</v>
      </c>
      <c r="D837" s="43" t="s">
        <v>81</v>
      </c>
      <c r="E837" s="24" t="n">
        <v>2</v>
      </c>
      <c r="F837" s="44" t="n">
        <v>3.5</v>
      </c>
      <c r="G837" s="24" t="n">
        <v>5</v>
      </c>
      <c r="H837" s="24" t="n">
        <v>12</v>
      </c>
      <c r="I837" s="44" t="n">
        <f aca="false">E837*F837*(1-G837/100)*(1+H837/100)</f>
        <v>7.448</v>
      </c>
      <c r="J837" s="24" t="s">
        <v>32</v>
      </c>
      <c r="K837" s="24" t="s">
        <v>101</v>
      </c>
      <c r="L837" s="43" t="s">
        <v>91</v>
      </c>
      <c r="M837" s="44" t="n">
        <f aca="false">F837*(1-G837/100)-2.2</f>
        <v>1.125</v>
      </c>
      <c r="N837" s="44" t="n">
        <f aca="false">M837*E837</f>
        <v>2.25</v>
      </c>
    </row>
    <row r="838" customFormat="false" ht="16.5" hidden="false" customHeight="true" outlineLevel="0" collapsed="false">
      <c r="A838" s="45" t="n">
        <v>45736</v>
      </c>
      <c r="B838" s="28" t="s">
        <v>936</v>
      </c>
      <c r="C838" s="46" t="s">
        <v>124</v>
      </c>
      <c r="D838" s="46" t="s">
        <v>96</v>
      </c>
      <c r="E838" s="28" t="n">
        <v>3</v>
      </c>
      <c r="F838" s="47" t="n">
        <v>4</v>
      </c>
      <c r="G838" s="28" t="n">
        <v>0</v>
      </c>
      <c r="H838" s="28" t="n">
        <v>12</v>
      </c>
      <c r="I838" s="47" t="n">
        <f aca="false">E838*F838*(1-G838/100)*(1+H838/100)</f>
        <v>13.44</v>
      </c>
      <c r="J838" s="28" t="s">
        <v>24</v>
      </c>
      <c r="K838" s="28" t="s">
        <v>88</v>
      </c>
      <c r="L838" s="46" t="s">
        <v>117</v>
      </c>
      <c r="M838" s="47" t="n">
        <f aca="false">F838*(1-G838/100)-1.8</f>
        <v>2.2</v>
      </c>
      <c r="N838" s="47" t="n">
        <f aca="false">M838*E838</f>
        <v>6.6</v>
      </c>
    </row>
    <row r="839" customFormat="false" ht="16.5" hidden="false" customHeight="true" outlineLevel="0" collapsed="false">
      <c r="A839" s="42" t="n">
        <v>45737</v>
      </c>
      <c r="B839" s="24" t="s">
        <v>937</v>
      </c>
      <c r="C839" s="43" t="s">
        <v>33</v>
      </c>
      <c r="D839" s="43" t="s">
        <v>104</v>
      </c>
      <c r="E839" s="24" t="n">
        <v>5</v>
      </c>
      <c r="F839" s="44" t="n">
        <v>5</v>
      </c>
      <c r="G839" s="24" t="n">
        <v>0</v>
      </c>
      <c r="H839" s="24" t="n">
        <v>12</v>
      </c>
      <c r="I839" s="44" t="n">
        <f aca="false">E839*F839*(1-G839/100)*(1+H839/100)</f>
        <v>28</v>
      </c>
      <c r="J839" s="24" t="s">
        <v>24</v>
      </c>
      <c r="K839" s="24" t="s">
        <v>97</v>
      </c>
      <c r="L839" s="43" t="s">
        <v>91</v>
      </c>
      <c r="M839" s="44" t="n">
        <f aca="false">F839*(1-G839/100)-2.5</f>
        <v>2.5</v>
      </c>
      <c r="N839" s="44" t="n">
        <f aca="false">M839*E839</f>
        <v>12.5</v>
      </c>
    </row>
    <row r="840" customFormat="false" ht="16.5" hidden="false" customHeight="true" outlineLevel="0" collapsed="false">
      <c r="A840" s="45" t="n">
        <v>45737</v>
      </c>
      <c r="B840" s="28" t="s">
        <v>938</v>
      </c>
      <c r="C840" s="46" t="s">
        <v>25</v>
      </c>
      <c r="D840" s="46" t="s">
        <v>81</v>
      </c>
      <c r="E840" s="28" t="n">
        <v>2</v>
      </c>
      <c r="F840" s="47" t="n">
        <v>3.5</v>
      </c>
      <c r="G840" s="28" t="n">
        <v>0</v>
      </c>
      <c r="H840" s="28" t="n">
        <v>12</v>
      </c>
      <c r="I840" s="47" t="n">
        <f aca="false">E840*F840*(1-G840/100)*(1+H840/100)</f>
        <v>7.84</v>
      </c>
      <c r="J840" s="28" t="s">
        <v>28</v>
      </c>
      <c r="K840" s="28" t="s">
        <v>85</v>
      </c>
      <c r="L840" s="46" t="s">
        <v>106</v>
      </c>
      <c r="M840" s="47" t="n">
        <f aca="false">F840*(1-G840/100)-2.2</f>
        <v>1.3</v>
      </c>
      <c r="N840" s="47" t="n">
        <f aca="false">M840*E840</f>
        <v>2.6</v>
      </c>
    </row>
    <row r="841" customFormat="false" ht="16.5" hidden="false" customHeight="true" outlineLevel="0" collapsed="false">
      <c r="A841" s="42" t="n">
        <v>45737</v>
      </c>
      <c r="B841" s="24" t="s">
        <v>939</v>
      </c>
      <c r="C841" s="43" t="s">
        <v>113</v>
      </c>
      <c r="D841" s="43" t="s">
        <v>96</v>
      </c>
      <c r="E841" s="24" t="n">
        <v>4</v>
      </c>
      <c r="F841" s="44" t="n">
        <v>6</v>
      </c>
      <c r="G841" s="24" t="n">
        <v>10</v>
      </c>
      <c r="H841" s="24" t="n">
        <v>12</v>
      </c>
      <c r="I841" s="44" t="n">
        <f aca="false">E841*F841*(1-G841/100)*(1+H841/100)</f>
        <v>24.192</v>
      </c>
      <c r="J841" s="24" t="s">
        <v>26</v>
      </c>
      <c r="K841" s="24" t="s">
        <v>88</v>
      </c>
      <c r="L841" s="43" t="s">
        <v>86</v>
      </c>
      <c r="M841" s="44" t="n">
        <f aca="false">F841*(1-G841/100)-2.8</f>
        <v>2.6</v>
      </c>
      <c r="N841" s="44" t="n">
        <f aca="false">M841*E841</f>
        <v>10.4</v>
      </c>
    </row>
    <row r="842" customFormat="false" ht="16.5" hidden="false" customHeight="true" outlineLevel="0" collapsed="false">
      <c r="A842" s="45" t="n">
        <v>45737</v>
      </c>
      <c r="B842" s="28" t="s">
        <v>940</v>
      </c>
      <c r="C842" s="46" t="s">
        <v>27</v>
      </c>
      <c r="D842" s="46" t="s">
        <v>81</v>
      </c>
      <c r="E842" s="28" t="n">
        <v>1</v>
      </c>
      <c r="F842" s="47" t="n">
        <v>4.5</v>
      </c>
      <c r="G842" s="28" t="n">
        <v>10</v>
      </c>
      <c r="H842" s="28" t="n">
        <v>12</v>
      </c>
      <c r="I842" s="47" t="n">
        <f aca="false">E842*F842*(1-G842/100)*(1+H842/100)</f>
        <v>4.536</v>
      </c>
      <c r="J842" s="28" t="s">
        <v>28</v>
      </c>
      <c r="K842" s="28" t="s">
        <v>88</v>
      </c>
      <c r="L842" s="46" t="s">
        <v>89</v>
      </c>
      <c r="M842" s="47" t="n">
        <f aca="false">F842*(1-G842/100)-2.8</f>
        <v>1.25</v>
      </c>
      <c r="N842" s="47" t="n">
        <f aca="false">M842*E842</f>
        <v>1.25</v>
      </c>
    </row>
    <row r="843" customFormat="false" ht="16.5" hidden="false" customHeight="true" outlineLevel="0" collapsed="false">
      <c r="A843" s="42" t="n">
        <v>45737</v>
      </c>
      <c r="B843" s="24" t="s">
        <v>941</v>
      </c>
      <c r="C843" s="43" t="s">
        <v>36</v>
      </c>
      <c r="D843" s="43" t="s">
        <v>96</v>
      </c>
      <c r="E843" s="24" t="n">
        <v>3</v>
      </c>
      <c r="F843" s="44" t="n">
        <v>8.5</v>
      </c>
      <c r="G843" s="24" t="n">
        <v>0</v>
      </c>
      <c r="H843" s="24" t="n">
        <v>12</v>
      </c>
      <c r="I843" s="44" t="n">
        <f aca="false">E843*F843*(1-G843/100)*(1+H843/100)</f>
        <v>28.56</v>
      </c>
      <c r="J843" s="24" t="s">
        <v>26</v>
      </c>
      <c r="K843" s="24" t="s">
        <v>88</v>
      </c>
      <c r="L843" s="43" t="s">
        <v>91</v>
      </c>
      <c r="M843" s="44" t="n">
        <f aca="false">F843*(1-G843/100)-4.2</f>
        <v>4.3</v>
      </c>
      <c r="N843" s="44" t="n">
        <f aca="false">M843*E843</f>
        <v>12.9</v>
      </c>
    </row>
    <row r="844" customFormat="false" ht="16.5" hidden="false" customHeight="true" outlineLevel="0" collapsed="false">
      <c r="A844" s="45" t="n">
        <v>45737</v>
      </c>
      <c r="B844" s="28" t="s">
        <v>942</v>
      </c>
      <c r="C844" s="46" t="s">
        <v>93</v>
      </c>
      <c r="D844" s="46" t="s">
        <v>81</v>
      </c>
      <c r="E844" s="28" t="n">
        <v>4</v>
      </c>
      <c r="F844" s="47" t="n">
        <v>3</v>
      </c>
      <c r="G844" s="28" t="n">
        <v>10</v>
      </c>
      <c r="H844" s="28" t="n">
        <v>12</v>
      </c>
      <c r="I844" s="47" t="n">
        <f aca="false">E844*F844*(1-G844/100)*(1+H844/100)</f>
        <v>12.096</v>
      </c>
      <c r="J844" s="28" t="s">
        <v>24</v>
      </c>
      <c r="K844" s="28" t="s">
        <v>97</v>
      </c>
      <c r="L844" s="46" t="s">
        <v>83</v>
      </c>
      <c r="M844" s="47" t="n">
        <f aca="false">F844*(1-G844/100)-1.5</f>
        <v>1.2</v>
      </c>
      <c r="N844" s="47" t="n">
        <f aca="false">M844*E844</f>
        <v>4.8</v>
      </c>
    </row>
    <row r="845" customFormat="false" ht="16.5" hidden="false" customHeight="true" outlineLevel="0" collapsed="false">
      <c r="A845" s="42" t="n">
        <v>45737</v>
      </c>
      <c r="B845" s="24" t="s">
        <v>943</v>
      </c>
      <c r="C845" s="43" t="s">
        <v>113</v>
      </c>
      <c r="D845" s="43" t="s">
        <v>96</v>
      </c>
      <c r="E845" s="24" t="n">
        <v>5</v>
      </c>
      <c r="F845" s="44" t="n">
        <v>6</v>
      </c>
      <c r="G845" s="24" t="n">
        <v>0</v>
      </c>
      <c r="H845" s="24" t="n">
        <v>12</v>
      </c>
      <c r="I845" s="44" t="n">
        <f aca="false">E845*F845*(1-G845/100)*(1+H845/100)</f>
        <v>33.6</v>
      </c>
      <c r="J845" s="24" t="s">
        <v>34</v>
      </c>
      <c r="K845" s="24" t="s">
        <v>101</v>
      </c>
      <c r="L845" s="43" t="s">
        <v>117</v>
      </c>
      <c r="M845" s="44" t="n">
        <f aca="false">F845*(1-G845/100)-2.8</f>
        <v>3.2</v>
      </c>
      <c r="N845" s="44" t="n">
        <f aca="false">M845*E845</f>
        <v>16</v>
      </c>
    </row>
    <row r="846" customFormat="false" ht="16.5" hidden="false" customHeight="true" outlineLevel="0" collapsed="false">
      <c r="A846" s="45" t="n">
        <v>45737</v>
      </c>
      <c r="B846" s="28" t="s">
        <v>944</v>
      </c>
      <c r="C846" s="46" t="s">
        <v>35</v>
      </c>
      <c r="D846" s="46" t="s">
        <v>81</v>
      </c>
      <c r="E846" s="28" t="n">
        <v>3</v>
      </c>
      <c r="F846" s="47" t="n">
        <v>1.5</v>
      </c>
      <c r="G846" s="28" t="n">
        <v>0</v>
      </c>
      <c r="H846" s="28" t="n">
        <v>12</v>
      </c>
      <c r="I846" s="47" t="n">
        <f aca="false">E846*F846*(1-G846/100)*(1+H846/100)</f>
        <v>5.04</v>
      </c>
      <c r="J846" s="28" t="s">
        <v>34</v>
      </c>
      <c r="K846" s="28" t="s">
        <v>97</v>
      </c>
      <c r="L846" s="46" t="s">
        <v>117</v>
      </c>
      <c r="M846" s="47" t="n">
        <f aca="false">F846*(1-G846/100)-0.6</f>
        <v>0.9</v>
      </c>
      <c r="N846" s="47" t="n">
        <f aca="false">M846*E846</f>
        <v>2.7</v>
      </c>
    </row>
    <row r="847" customFormat="false" ht="16.5" hidden="false" customHeight="true" outlineLevel="0" collapsed="false">
      <c r="A847" s="42" t="n">
        <v>45737</v>
      </c>
      <c r="B847" s="24" t="s">
        <v>945</v>
      </c>
      <c r="C847" s="43" t="s">
        <v>109</v>
      </c>
      <c r="D847" s="43" t="s">
        <v>110</v>
      </c>
      <c r="E847" s="24" t="n">
        <v>3</v>
      </c>
      <c r="F847" s="44" t="n">
        <v>3.5</v>
      </c>
      <c r="G847" s="24" t="n">
        <v>5</v>
      </c>
      <c r="H847" s="24" t="n">
        <v>12</v>
      </c>
      <c r="I847" s="44" t="n">
        <f aca="false">E847*F847*(1-G847/100)*(1+H847/100)</f>
        <v>11.172</v>
      </c>
      <c r="J847" s="24" t="s">
        <v>32</v>
      </c>
      <c r="K847" s="24" t="s">
        <v>88</v>
      </c>
      <c r="L847" s="43" t="s">
        <v>111</v>
      </c>
      <c r="M847" s="44" t="n">
        <f aca="false">F847*(1-G847/100)-1.4</f>
        <v>1.925</v>
      </c>
      <c r="N847" s="44" t="n">
        <f aca="false">M847*E847</f>
        <v>5.775</v>
      </c>
    </row>
    <row r="848" customFormat="false" ht="16.5" hidden="false" customHeight="true" outlineLevel="0" collapsed="false">
      <c r="A848" s="45" t="n">
        <v>45737</v>
      </c>
      <c r="B848" s="28" t="s">
        <v>946</v>
      </c>
      <c r="C848" s="46" t="s">
        <v>33</v>
      </c>
      <c r="D848" s="46" t="s">
        <v>104</v>
      </c>
      <c r="E848" s="28" t="n">
        <v>3</v>
      </c>
      <c r="F848" s="47" t="n">
        <v>5</v>
      </c>
      <c r="G848" s="28" t="n">
        <v>5</v>
      </c>
      <c r="H848" s="28" t="n">
        <v>12</v>
      </c>
      <c r="I848" s="47" t="n">
        <f aca="false">E848*F848*(1-G848/100)*(1+H848/100)</f>
        <v>15.96</v>
      </c>
      <c r="J848" s="28" t="s">
        <v>32</v>
      </c>
      <c r="K848" s="28" t="s">
        <v>88</v>
      </c>
      <c r="L848" s="46" t="s">
        <v>86</v>
      </c>
      <c r="M848" s="47" t="n">
        <f aca="false">F848*(1-G848/100)-2.5</f>
        <v>2.25</v>
      </c>
      <c r="N848" s="47" t="n">
        <f aca="false">M848*E848</f>
        <v>6.75</v>
      </c>
    </row>
    <row r="849" customFormat="false" ht="16.5" hidden="false" customHeight="true" outlineLevel="0" collapsed="false">
      <c r="A849" s="42" t="n">
        <v>45737</v>
      </c>
      <c r="B849" s="24" t="s">
        <v>947</v>
      </c>
      <c r="C849" s="43" t="s">
        <v>93</v>
      </c>
      <c r="D849" s="43" t="s">
        <v>81</v>
      </c>
      <c r="E849" s="24" t="n">
        <v>1</v>
      </c>
      <c r="F849" s="44" t="n">
        <v>3</v>
      </c>
      <c r="G849" s="24" t="n">
        <v>0</v>
      </c>
      <c r="H849" s="24" t="n">
        <v>12</v>
      </c>
      <c r="I849" s="44" t="n">
        <f aca="false">E849*F849*(1-G849/100)*(1+H849/100)</f>
        <v>3.36</v>
      </c>
      <c r="J849" s="24" t="s">
        <v>24</v>
      </c>
      <c r="K849" s="24" t="s">
        <v>85</v>
      </c>
      <c r="L849" s="43" t="s">
        <v>91</v>
      </c>
      <c r="M849" s="44" t="n">
        <f aca="false">F849*(1-G849/100)-1.5</f>
        <v>1.5</v>
      </c>
      <c r="N849" s="44" t="n">
        <f aca="false">M849*E849</f>
        <v>1.5</v>
      </c>
    </row>
    <row r="850" customFormat="false" ht="16.5" hidden="false" customHeight="true" outlineLevel="0" collapsed="false">
      <c r="A850" s="45" t="n">
        <v>45737</v>
      </c>
      <c r="B850" s="28" t="s">
        <v>948</v>
      </c>
      <c r="C850" s="46" t="s">
        <v>33</v>
      </c>
      <c r="D850" s="46" t="s">
        <v>104</v>
      </c>
      <c r="E850" s="28" t="n">
        <v>3</v>
      </c>
      <c r="F850" s="47" t="n">
        <v>5</v>
      </c>
      <c r="G850" s="28" t="n">
        <v>5</v>
      </c>
      <c r="H850" s="28" t="n">
        <v>12</v>
      </c>
      <c r="I850" s="47" t="n">
        <f aca="false">E850*F850*(1-G850/100)*(1+H850/100)</f>
        <v>15.96</v>
      </c>
      <c r="J850" s="28" t="s">
        <v>28</v>
      </c>
      <c r="K850" s="28" t="s">
        <v>88</v>
      </c>
      <c r="L850" s="46" t="s">
        <v>117</v>
      </c>
      <c r="M850" s="47" t="n">
        <f aca="false">F850*(1-G850/100)-2.5</f>
        <v>2.25</v>
      </c>
      <c r="N850" s="47" t="n">
        <f aca="false">M850*E850</f>
        <v>6.75</v>
      </c>
    </row>
    <row r="851" customFormat="false" ht="16.5" hidden="false" customHeight="true" outlineLevel="0" collapsed="false">
      <c r="A851" s="42" t="n">
        <v>45737</v>
      </c>
      <c r="B851" s="24" t="s">
        <v>949</v>
      </c>
      <c r="C851" s="43" t="s">
        <v>25</v>
      </c>
      <c r="D851" s="43" t="s">
        <v>81</v>
      </c>
      <c r="E851" s="24" t="n">
        <v>3</v>
      </c>
      <c r="F851" s="44" t="n">
        <v>3.5</v>
      </c>
      <c r="G851" s="24" t="n">
        <v>0</v>
      </c>
      <c r="H851" s="24" t="n">
        <v>12</v>
      </c>
      <c r="I851" s="44" t="n">
        <f aca="false">E851*F851*(1-G851/100)*(1+H851/100)</f>
        <v>11.76</v>
      </c>
      <c r="J851" s="24" t="s">
        <v>28</v>
      </c>
      <c r="K851" s="24" t="s">
        <v>101</v>
      </c>
      <c r="L851" s="43" t="s">
        <v>94</v>
      </c>
      <c r="M851" s="44" t="n">
        <f aca="false">F851*(1-G851/100)-2.2</f>
        <v>1.3</v>
      </c>
      <c r="N851" s="44" t="n">
        <f aca="false">M851*E851</f>
        <v>3.9</v>
      </c>
    </row>
    <row r="852" customFormat="false" ht="16.5" hidden="false" customHeight="true" outlineLevel="0" collapsed="false">
      <c r="A852" s="45" t="n">
        <v>45738</v>
      </c>
      <c r="B852" s="28" t="s">
        <v>950</v>
      </c>
      <c r="C852" s="46" t="s">
        <v>36</v>
      </c>
      <c r="D852" s="46" t="s">
        <v>96</v>
      </c>
      <c r="E852" s="28" t="n">
        <v>1</v>
      </c>
      <c r="F852" s="47" t="n">
        <v>8.5</v>
      </c>
      <c r="G852" s="28" t="n">
        <v>10</v>
      </c>
      <c r="H852" s="28" t="n">
        <v>12</v>
      </c>
      <c r="I852" s="47" t="n">
        <f aca="false">E852*F852*(1-G852/100)*(1+H852/100)</f>
        <v>8.568</v>
      </c>
      <c r="J852" s="28" t="s">
        <v>26</v>
      </c>
      <c r="K852" s="28" t="s">
        <v>85</v>
      </c>
      <c r="L852" s="46" t="s">
        <v>106</v>
      </c>
      <c r="M852" s="47" t="n">
        <f aca="false">F852*(1-G852/100)-4.2</f>
        <v>3.45</v>
      </c>
      <c r="N852" s="47" t="n">
        <f aca="false">M852*E852</f>
        <v>3.45</v>
      </c>
    </row>
    <row r="853" customFormat="false" ht="16.5" hidden="false" customHeight="true" outlineLevel="0" collapsed="false">
      <c r="A853" s="42" t="n">
        <v>45738</v>
      </c>
      <c r="B853" s="24" t="s">
        <v>951</v>
      </c>
      <c r="C853" s="43" t="s">
        <v>36</v>
      </c>
      <c r="D853" s="43" t="s">
        <v>96</v>
      </c>
      <c r="E853" s="24" t="n">
        <v>2</v>
      </c>
      <c r="F853" s="44" t="n">
        <v>8.5</v>
      </c>
      <c r="G853" s="24" t="n">
        <v>10</v>
      </c>
      <c r="H853" s="24" t="n">
        <v>12</v>
      </c>
      <c r="I853" s="44" t="n">
        <f aca="false">E853*F853*(1-G853/100)*(1+H853/100)</f>
        <v>17.136</v>
      </c>
      <c r="J853" s="24" t="s">
        <v>28</v>
      </c>
      <c r="K853" s="24" t="s">
        <v>82</v>
      </c>
      <c r="L853" s="43" t="s">
        <v>91</v>
      </c>
      <c r="M853" s="44" t="n">
        <f aca="false">F853*(1-G853/100)-4.2</f>
        <v>3.45</v>
      </c>
      <c r="N853" s="44" t="n">
        <f aca="false">M853*E853</f>
        <v>6.9</v>
      </c>
    </row>
    <row r="854" customFormat="false" ht="16.5" hidden="false" customHeight="true" outlineLevel="0" collapsed="false">
      <c r="A854" s="45" t="n">
        <v>45738</v>
      </c>
      <c r="B854" s="28" t="s">
        <v>952</v>
      </c>
      <c r="C854" s="46" t="s">
        <v>93</v>
      </c>
      <c r="D854" s="46" t="s">
        <v>81</v>
      </c>
      <c r="E854" s="28" t="n">
        <v>2</v>
      </c>
      <c r="F854" s="47" t="n">
        <v>3</v>
      </c>
      <c r="G854" s="28" t="n">
        <v>0</v>
      </c>
      <c r="H854" s="28" t="n">
        <v>12</v>
      </c>
      <c r="I854" s="47" t="n">
        <f aca="false">E854*F854*(1-G854/100)*(1+H854/100)</f>
        <v>6.72</v>
      </c>
      <c r="J854" s="28" t="s">
        <v>26</v>
      </c>
      <c r="K854" s="28" t="s">
        <v>97</v>
      </c>
      <c r="L854" s="46" t="s">
        <v>91</v>
      </c>
      <c r="M854" s="47" t="n">
        <f aca="false">F854*(1-G854/100)-1.5</f>
        <v>1.5</v>
      </c>
      <c r="N854" s="47" t="n">
        <f aca="false">M854*E854</f>
        <v>3</v>
      </c>
    </row>
    <row r="855" customFormat="false" ht="16.5" hidden="false" customHeight="true" outlineLevel="0" collapsed="false">
      <c r="A855" s="42" t="n">
        <v>45738</v>
      </c>
      <c r="B855" s="24" t="s">
        <v>953</v>
      </c>
      <c r="C855" s="43" t="s">
        <v>33</v>
      </c>
      <c r="D855" s="43" t="s">
        <v>104</v>
      </c>
      <c r="E855" s="24" t="n">
        <v>2</v>
      </c>
      <c r="F855" s="44" t="n">
        <v>5</v>
      </c>
      <c r="G855" s="24" t="n">
        <v>0</v>
      </c>
      <c r="H855" s="24" t="n">
        <v>12</v>
      </c>
      <c r="I855" s="44" t="n">
        <f aca="false">E855*F855*(1-G855/100)*(1+H855/100)</f>
        <v>11.2</v>
      </c>
      <c r="J855" s="24" t="s">
        <v>34</v>
      </c>
      <c r="K855" s="24" t="s">
        <v>97</v>
      </c>
      <c r="L855" s="43" t="s">
        <v>83</v>
      </c>
      <c r="M855" s="44" t="n">
        <f aca="false">F855*(1-G855/100)-2.5</f>
        <v>2.5</v>
      </c>
      <c r="N855" s="44" t="n">
        <f aca="false">M855*E855</f>
        <v>5</v>
      </c>
    </row>
    <row r="856" customFormat="false" ht="16.5" hidden="false" customHeight="true" outlineLevel="0" collapsed="false">
      <c r="A856" s="45" t="n">
        <v>45738</v>
      </c>
      <c r="B856" s="28" t="s">
        <v>954</v>
      </c>
      <c r="C856" s="46" t="s">
        <v>27</v>
      </c>
      <c r="D856" s="46" t="s">
        <v>81</v>
      </c>
      <c r="E856" s="28" t="n">
        <v>1</v>
      </c>
      <c r="F856" s="47" t="n">
        <v>4.5</v>
      </c>
      <c r="G856" s="28" t="n">
        <v>0</v>
      </c>
      <c r="H856" s="28" t="n">
        <v>12</v>
      </c>
      <c r="I856" s="47" t="n">
        <f aca="false">E856*F856*(1-G856/100)*(1+H856/100)</f>
        <v>5.04</v>
      </c>
      <c r="J856" s="28" t="s">
        <v>32</v>
      </c>
      <c r="K856" s="28" t="s">
        <v>88</v>
      </c>
      <c r="L856" s="46" t="s">
        <v>86</v>
      </c>
      <c r="M856" s="47" t="n">
        <f aca="false">F856*(1-G856/100)-2.8</f>
        <v>1.7</v>
      </c>
      <c r="N856" s="47" t="n">
        <f aca="false">M856*E856</f>
        <v>1.7</v>
      </c>
    </row>
    <row r="857" customFormat="false" ht="16.5" hidden="false" customHeight="true" outlineLevel="0" collapsed="false">
      <c r="A857" s="42" t="n">
        <v>45738</v>
      </c>
      <c r="B857" s="24" t="s">
        <v>955</v>
      </c>
      <c r="C857" s="43" t="s">
        <v>124</v>
      </c>
      <c r="D857" s="43" t="s">
        <v>96</v>
      </c>
      <c r="E857" s="24" t="n">
        <v>1</v>
      </c>
      <c r="F857" s="44" t="n">
        <v>4</v>
      </c>
      <c r="G857" s="24" t="n">
        <v>5</v>
      </c>
      <c r="H857" s="24" t="n">
        <v>12</v>
      </c>
      <c r="I857" s="44" t="n">
        <f aca="false">E857*F857*(1-G857/100)*(1+H857/100)</f>
        <v>4.256</v>
      </c>
      <c r="J857" s="24" t="s">
        <v>28</v>
      </c>
      <c r="K857" s="24" t="s">
        <v>88</v>
      </c>
      <c r="L857" s="43" t="s">
        <v>106</v>
      </c>
      <c r="M857" s="44" t="n">
        <f aca="false">F857*(1-G857/100)-1.8</f>
        <v>2</v>
      </c>
      <c r="N857" s="44" t="n">
        <f aca="false">M857*E857</f>
        <v>2</v>
      </c>
    </row>
    <row r="858" customFormat="false" ht="16.5" hidden="false" customHeight="true" outlineLevel="0" collapsed="false">
      <c r="A858" s="45" t="n">
        <v>45738</v>
      </c>
      <c r="B858" s="28" t="s">
        <v>956</v>
      </c>
      <c r="C858" s="46" t="s">
        <v>93</v>
      </c>
      <c r="D858" s="46" t="s">
        <v>81</v>
      </c>
      <c r="E858" s="28" t="n">
        <v>5</v>
      </c>
      <c r="F858" s="47" t="n">
        <v>3</v>
      </c>
      <c r="G858" s="28" t="n">
        <v>0</v>
      </c>
      <c r="H858" s="28" t="n">
        <v>12</v>
      </c>
      <c r="I858" s="47" t="n">
        <f aca="false">E858*F858*(1-G858/100)*(1+H858/100)</f>
        <v>16.8</v>
      </c>
      <c r="J858" s="28" t="s">
        <v>32</v>
      </c>
      <c r="K858" s="28" t="s">
        <v>82</v>
      </c>
      <c r="L858" s="46" t="s">
        <v>117</v>
      </c>
      <c r="M858" s="47" t="n">
        <f aca="false">F858*(1-G858/100)-1.5</f>
        <v>1.5</v>
      </c>
      <c r="N858" s="47" t="n">
        <f aca="false">M858*E858</f>
        <v>7.5</v>
      </c>
    </row>
    <row r="859" customFormat="false" ht="16.5" hidden="false" customHeight="true" outlineLevel="0" collapsed="false">
      <c r="A859" s="42" t="n">
        <v>45738</v>
      </c>
      <c r="B859" s="24" t="s">
        <v>957</v>
      </c>
      <c r="C859" s="43" t="s">
        <v>35</v>
      </c>
      <c r="D859" s="43" t="s">
        <v>81</v>
      </c>
      <c r="E859" s="24" t="n">
        <v>4</v>
      </c>
      <c r="F859" s="44" t="n">
        <v>1.5</v>
      </c>
      <c r="G859" s="24" t="n">
        <v>0</v>
      </c>
      <c r="H859" s="24" t="n">
        <v>12</v>
      </c>
      <c r="I859" s="44" t="n">
        <f aca="false">E859*F859*(1-G859/100)*(1+H859/100)</f>
        <v>6.72</v>
      </c>
      <c r="J859" s="24" t="s">
        <v>34</v>
      </c>
      <c r="K859" s="24" t="s">
        <v>82</v>
      </c>
      <c r="L859" s="43" t="s">
        <v>86</v>
      </c>
      <c r="M859" s="44" t="n">
        <f aca="false">F859*(1-G859/100)-0.6</f>
        <v>0.9</v>
      </c>
      <c r="N859" s="44" t="n">
        <f aca="false">M859*E859</f>
        <v>3.6</v>
      </c>
    </row>
    <row r="860" customFormat="false" ht="16.5" hidden="false" customHeight="true" outlineLevel="0" collapsed="false">
      <c r="A860" s="45" t="n">
        <v>45738</v>
      </c>
      <c r="B860" s="28" t="s">
        <v>958</v>
      </c>
      <c r="C860" s="46" t="s">
        <v>124</v>
      </c>
      <c r="D860" s="46" t="s">
        <v>96</v>
      </c>
      <c r="E860" s="28" t="n">
        <v>4</v>
      </c>
      <c r="F860" s="47" t="n">
        <v>4</v>
      </c>
      <c r="G860" s="28" t="n">
        <v>5</v>
      </c>
      <c r="H860" s="28" t="n">
        <v>12</v>
      </c>
      <c r="I860" s="47" t="n">
        <f aca="false">E860*F860*(1-G860/100)*(1+H860/100)</f>
        <v>17.024</v>
      </c>
      <c r="J860" s="28" t="s">
        <v>34</v>
      </c>
      <c r="K860" s="28" t="s">
        <v>101</v>
      </c>
      <c r="L860" s="46" t="s">
        <v>117</v>
      </c>
      <c r="M860" s="47" t="n">
        <f aca="false">F860*(1-G860/100)-1.8</f>
        <v>2</v>
      </c>
      <c r="N860" s="47" t="n">
        <f aca="false">M860*E860</f>
        <v>8</v>
      </c>
    </row>
    <row r="861" customFormat="false" ht="16.5" hidden="false" customHeight="true" outlineLevel="0" collapsed="false">
      <c r="A861" s="42" t="n">
        <v>45738</v>
      </c>
      <c r="B861" s="24" t="s">
        <v>959</v>
      </c>
      <c r="C861" s="43" t="s">
        <v>36</v>
      </c>
      <c r="D861" s="43" t="s">
        <v>96</v>
      </c>
      <c r="E861" s="24" t="n">
        <v>4</v>
      </c>
      <c r="F861" s="44" t="n">
        <v>8.5</v>
      </c>
      <c r="G861" s="24" t="n">
        <v>0</v>
      </c>
      <c r="H861" s="24" t="n">
        <v>12</v>
      </c>
      <c r="I861" s="44" t="n">
        <f aca="false">E861*F861*(1-G861/100)*(1+H861/100)</f>
        <v>38.08</v>
      </c>
      <c r="J861" s="24" t="s">
        <v>32</v>
      </c>
      <c r="K861" s="24" t="s">
        <v>101</v>
      </c>
      <c r="L861" s="43" t="s">
        <v>117</v>
      </c>
      <c r="M861" s="44" t="n">
        <f aca="false">F861*(1-G861/100)-4.2</f>
        <v>4.3</v>
      </c>
      <c r="N861" s="44" t="n">
        <f aca="false">M861*E861</f>
        <v>17.2</v>
      </c>
    </row>
    <row r="862" customFormat="false" ht="16.5" hidden="false" customHeight="true" outlineLevel="0" collapsed="false">
      <c r="A862" s="45" t="n">
        <v>45738</v>
      </c>
      <c r="B862" s="28" t="s">
        <v>960</v>
      </c>
      <c r="C862" s="46" t="s">
        <v>93</v>
      </c>
      <c r="D862" s="46" t="s">
        <v>81</v>
      </c>
      <c r="E862" s="28" t="n">
        <v>3</v>
      </c>
      <c r="F862" s="47" t="n">
        <v>3</v>
      </c>
      <c r="G862" s="28" t="n">
        <v>0</v>
      </c>
      <c r="H862" s="28" t="n">
        <v>12</v>
      </c>
      <c r="I862" s="47" t="n">
        <f aca="false">E862*F862*(1-G862/100)*(1+H862/100)</f>
        <v>10.08</v>
      </c>
      <c r="J862" s="28" t="s">
        <v>24</v>
      </c>
      <c r="K862" s="28" t="s">
        <v>82</v>
      </c>
      <c r="L862" s="46" t="s">
        <v>94</v>
      </c>
      <c r="M862" s="47" t="n">
        <f aca="false">F862*(1-G862/100)-1.5</f>
        <v>1.5</v>
      </c>
      <c r="N862" s="47" t="n">
        <f aca="false">M862*E862</f>
        <v>4.5</v>
      </c>
    </row>
    <row r="863" customFormat="false" ht="16.5" hidden="false" customHeight="true" outlineLevel="0" collapsed="false">
      <c r="A863" s="42" t="n">
        <v>45738</v>
      </c>
      <c r="B863" s="24" t="s">
        <v>961</v>
      </c>
      <c r="C863" s="43" t="s">
        <v>109</v>
      </c>
      <c r="D863" s="43" t="s">
        <v>110</v>
      </c>
      <c r="E863" s="24" t="n">
        <v>1</v>
      </c>
      <c r="F863" s="44" t="n">
        <v>3.5</v>
      </c>
      <c r="G863" s="24" t="n">
        <v>0</v>
      </c>
      <c r="H863" s="24" t="n">
        <v>12</v>
      </c>
      <c r="I863" s="44" t="n">
        <f aca="false">E863*F863*(1-G863/100)*(1+H863/100)</f>
        <v>3.92</v>
      </c>
      <c r="J863" s="24" t="s">
        <v>28</v>
      </c>
      <c r="K863" s="24" t="s">
        <v>88</v>
      </c>
      <c r="L863" s="43" t="s">
        <v>122</v>
      </c>
      <c r="M863" s="44" t="n">
        <f aca="false">F863*(1-G863/100)-1.4</f>
        <v>2.1</v>
      </c>
      <c r="N863" s="44" t="n">
        <f aca="false">M863*E863</f>
        <v>2.1</v>
      </c>
    </row>
    <row r="864" customFormat="false" ht="16.5" hidden="false" customHeight="true" outlineLevel="0" collapsed="false">
      <c r="A864" s="45" t="n">
        <v>45738</v>
      </c>
      <c r="B864" s="28" t="s">
        <v>962</v>
      </c>
      <c r="C864" s="46" t="s">
        <v>29</v>
      </c>
      <c r="D864" s="46" t="s">
        <v>104</v>
      </c>
      <c r="E864" s="28" t="n">
        <v>5</v>
      </c>
      <c r="F864" s="47" t="n">
        <v>2.5</v>
      </c>
      <c r="G864" s="28" t="n">
        <v>0</v>
      </c>
      <c r="H864" s="28" t="n">
        <v>12</v>
      </c>
      <c r="I864" s="47" t="n">
        <f aca="false">E864*F864*(1-G864/100)*(1+H864/100)</f>
        <v>14</v>
      </c>
      <c r="J864" s="28" t="s">
        <v>26</v>
      </c>
      <c r="K864" s="28" t="s">
        <v>97</v>
      </c>
      <c r="L864" s="46" t="s">
        <v>111</v>
      </c>
      <c r="M864" s="47" t="n">
        <f aca="false">F864*(1-G864/100)-1.1</f>
        <v>1.4</v>
      </c>
      <c r="N864" s="47" t="n">
        <f aca="false">M864*E864</f>
        <v>7</v>
      </c>
    </row>
    <row r="865" customFormat="false" ht="16.5" hidden="false" customHeight="true" outlineLevel="0" collapsed="false">
      <c r="A865" s="42" t="n">
        <v>45738</v>
      </c>
      <c r="B865" s="24" t="s">
        <v>963</v>
      </c>
      <c r="C865" s="43" t="s">
        <v>109</v>
      </c>
      <c r="D865" s="43" t="s">
        <v>110</v>
      </c>
      <c r="E865" s="24" t="n">
        <v>3</v>
      </c>
      <c r="F865" s="44" t="n">
        <v>3.5</v>
      </c>
      <c r="G865" s="24" t="n">
        <v>0</v>
      </c>
      <c r="H865" s="24" t="n">
        <v>12</v>
      </c>
      <c r="I865" s="44" t="n">
        <f aca="false">E865*F865*(1-G865/100)*(1+H865/100)</f>
        <v>11.76</v>
      </c>
      <c r="J865" s="24" t="s">
        <v>26</v>
      </c>
      <c r="K865" s="24" t="s">
        <v>85</v>
      </c>
      <c r="L865" s="43" t="s">
        <v>94</v>
      </c>
      <c r="M865" s="44" t="n">
        <f aca="false">F865*(1-G865/100)-1.4</f>
        <v>2.1</v>
      </c>
      <c r="N865" s="44" t="n">
        <f aca="false">M865*E865</f>
        <v>6.3</v>
      </c>
    </row>
    <row r="866" customFormat="false" ht="16.5" hidden="false" customHeight="true" outlineLevel="0" collapsed="false">
      <c r="A866" s="45" t="n">
        <v>45738</v>
      </c>
      <c r="B866" s="28" t="s">
        <v>964</v>
      </c>
      <c r="C866" s="46" t="s">
        <v>33</v>
      </c>
      <c r="D866" s="46" t="s">
        <v>104</v>
      </c>
      <c r="E866" s="28" t="n">
        <v>4</v>
      </c>
      <c r="F866" s="47" t="n">
        <v>5</v>
      </c>
      <c r="G866" s="28" t="n">
        <v>0</v>
      </c>
      <c r="H866" s="28" t="n">
        <v>12</v>
      </c>
      <c r="I866" s="47" t="n">
        <f aca="false">E866*F866*(1-G866/100)*(1+H866/100)</f>
        <v>22.4</v>
      </c>
      <c r="J866" s="28" t="s">
        <v>28</v>
      </c>
      <c r="K866" s="28" t="s">
        <v>85</v>
      </c>
      <c r="L866" s="46" t="s">
        <v>122</v>
      </c>
      <c r="M866" s="47" t="n">
        <f aca="false">F866*(1-G866/100)-2.5</f>
        <v>2.5</v>
      </c>
      <c r="N866" s="47" t="n">
        <f aca="false">M866*E866</f>
        <v>10</v>
      </c>
    </row>
    <row r="867" customFormat="false" ht="16.5" hidden="false" customHeight="true" outlineLevel="0" collapsed="false">
      <c r="A867" s="42" t="n">
        <v>45739</v>
      </c>
      <c r="B867" s="24" t="s">
        <v>965</v>
      </c>
      <c r="C867" s="43" t="s">
        <v>29</v>
      </c>
      <c r="D867" s="43" t="s">
        <v>104</v>
      </c>
      <c r="E867" s="24" t="n">
        <v>5</v>
      </c>
      <c r="F867" s="44" t="n">
        <v>2.5</v>
      </c>
      <c r="G867" s="24" t="n">
        <v>0</v>
      </c>
      <c r="H867" s="24" t="n">
        <v>12</v>
      </c>
      <c r="I867" s="44" t="n">
        <f aca="false">E867*F867*(1-G867/100)*(1+H867/100)</f>
        <v>14</v>
      </c>
      <c r="J867" s="24" t="s">
        <v>34</v>
      </c>
      <c r="K867" s="24" t="s">
        <v>82</v>
      </c>
      <c r="L867" s="43" t="s">
        <v>98</v>
      </c>
      <c r="M867" s="44" t="n">
        <f aca="false">F867*(1-G867/100)-1.1</f>
        <v>1.4</v>
      </c>
      <c r="N867" s="44" t="n">
        <f aca="false">M867*E867</f>
        <v>7</v>
      </c>
    </row>
    <row r="868" customFormat="false" ht="16.5" hidden="false" customHeight="true" outlineLevel="0" collapsed="false">
      <c r="A868" s="45" t="n">
        <v>45739</v>
      </c>
      <c r="B868" s="28" t="s">
        <v>966</v>
      </c>
      <c r="C868" s="46" t="s">
        <v>35</v>
      </c>
      <c r="D868" s="46" t="s">
        <v>81</v>
      </c>
      <c r="E868" s="28" t="n">
        <v>2</v>
      </c>
      <c r="F868" s="47" t="n">
        <v>1.5</v>
      </c>
      <c r="G868" s="28" t="n">
        <v>10</v>
      </c>
      <c r="H868" s="28" t="n">
        <v>12</v>
      </c>
      <c r="I868" s="47" t="n">
        <f aca="false">E868*F868*(1-G868/100)*(1+H868/100)</f>
        <v>3.024</v>
      </c>
      <c r="J868" s="28" t="s">
        <v>32</v>
      </c>
      <c r="K868" s="28" t="s">
        <v>85</v>
      </c>
      <c r="L868" s="46" t="s">
        <v>91</v>
      </c>
      <c r="M868" s="47" t="n">
        <f aca="false">F868*(1-G868/100)-0.6</f>
        <v>0.75</v>
      </c>
      <c r="N868" s="47" t="n">
        <f aca="false">M868*E868</f>
        <v>1.5</v>
      </c>
    </row>
    <row r="869" customFormat="false" ht="16.5" hidden="false" customHeight="true" outlineLevel="0" collapsed="false">
      <c r="A869" s="42" t="n">
        <v>45739</v>
      </c>
      <c r="B869" s="24" t="s">
        <v>967</v>
      </c>
      <c r="C869" s="43" t="s">
        <v>29</v>
      </c>
      <c r="D869" s="43" t="s">
        <v>104</v>
      </c>
      <c r="E869" s="24" t="n">
        <v>2</v>
      </c>
      <c r="F869" s="44" t="n">
        <v>2.5</v>
      </c>
      <c r="G869" s="24" t="n">
        <v>5</v>
      </c>
      <c r="H869" s="24" t="n">
        <v>12</v>
      </c>
      <c r="I869" s="44" t="n">
        <f aca="false">E869*F869*(1-G869/100)*(1+H869/100)</f>
        <v>5.32</v>
      </c>
      <c r="J869" s="24" t="s">
        <v>24</v>
      </c>
      <c r="K869" s="24" t="s">
        <v>82</v>
      </c>
      <c r="L869" s="43" t="s">
        <v>94</v>
      </c>
      <c r="M869" s="44" t="n">
        <f aca="false">F869*(1-G869/100)-1.1</f>
        <v>1.275</v>
      </c>
      <c r="N869" s="44" t="n">
        <f aca="false">M869*E869</f>
        <v>2.55</v>
      </c>
    </row>
    <row r="870" customFormat="false" ht="16.5" hidden="false" customHeight="true" outlineLevel="0" collapsed="false">
      <c r="A870" s="45" t="n">
        <v>45739</v>
      </c>
      <c r="B870" s="28" t="s">
        <v>968</v>
      </c>
      <c r="C870" s="46" t="s">
        <v>93</v>
      </c>
      <c r="D870" s="46" t="s">
        <v>81</v>
      </c>
      <c r="E870" s="28" t="n">
        <v>2</v>
      </c>
      <c r="F870" s="47" t="n">
        <v>3</v>
      </c>
      <c r="G870" s="28" t="n">
        <v>10</v>
      </c>
      <c r="H870" s="28" t="n">
        <v>12</v>
      </c>
      <c r="I870" s="47" t="n">
        <f aca="false">E870*F870*(1-G870/100)*(1+H870/100)</f>
        <v>6.048</v>
      </c>
      <c r="J870" s="28" t="s">
        <v>34</v>
      </c>
      <c r="K870" s="28" t="s">
        <v>97</v>
      </c>
      <c r="L870" s="46" t="s">
        <v>111</v>
      </c>
      <c r="M870" s="47" t="n">
        <f aca="false">F870*(1-G870/100)-1.5</f>
        <v>1.2</v>
      </c>
      <c r="N870" s="47" t="n">
        <f aca="false">M870*E870</f>
        <v>2.4</v>
      </c>
    </row>
    <row r="871" customFormat="false" ht="16.5" hidden="false" customHeight="true" outlineLevel="0" collapsed="false">
      <c r="A871" s="42" t="n">
        <v>45739</v>
      </c>
      <c r="B871" s="24" t="s">
        <v>969</v>
      </c>
      <c r="C871" s="43" t="s">
        <v>35</v>
      </c>
      <c r="D871" s="43" t="s">
        <v>81</v>
      </c>
      <c r="E871" s="24" t="n">
        <v>3</v>
      </c>
      <c r="F871" s="44" t="n">
        <v>1.5</v>
      </c>
      <c r="G871" s="24" t="n">
        <v>10</v>
      </c>
      <c r="H871" s="24" t="n">
        <v>12</v>
      </c>
      <c r="I871" s="44" t="n">
        <f aca="false">E871*F871*(1-G871/100)*(1+H871/100)</f>
        <v>4.536</v>
      </c>
      <c r="J871" s="24" t="s">
        <v>34</v>
      </c>
      <c r="K871" s="24" t="s">
        <v>101</v>
      </c>
      <c r="L871" s="43" t="s">
        <v>94</v>
      </c>
      <c r="M871" s="44" t="n">
        <f aca="false">F871*(1-G871/100)-0.6</f>
        <v>0.75</v>
      </c>
      <c r="N871" s="44" t="n">
        <f aca="false">M871*E871</f>
        <v>2.25</v>
      </c>
    </row>
    <row r="872" customFormat="false" ht="16.5" hidden="false" customHeight="true" outlineLevel="0" collapsed="false">
      <c r="A872" s="45" t="n">
        <v>45739</v>
      </c>
      <c r="B872" s="28" t="s">
        <v>970</v>
      </c>
      <c r="C872" s="46" t="s">
        <v>27</v>
      </c>
      <c r="D872" s="46" t="s">
        <v>81</v>
      </c>
      <c r="E872" s="28" t="n">
        <v>2</v>
      </c>
      <c r="F872" s="47" t="n">
        <v>4.5</v>
      </c>
      <c r="G872" s="28" t="n">
        <v>0</v>
      </c>
      <c r="H872" s="28" t="n">
        <v>12</v>
      </c>
      <c r="I872" s="47" t="n">
        <f aca="false">E872*F872*(1-G872/100)*(1+H872/100)</f>
        <v>10.08</v>
      </c>
      <c r="J872" s="28" t="s">
        <v>26</v>
      </c>
      <c r="K872" s="28" t="s">
        <v>97</v>
      </c>
      <c r="L872" s="46" t="s">
        <v>111</v>
      </c>
      <c r="M872" s="47" t="n">
        <f aca="false">F872*(1-G872/100)-2.8</f>
        <v>1.7</v>
      </c>
      <c r="N872" s="47" t="n">
        <f aca="false">M872*E872</f>
        <v>3.4</v>
      </c>
    </row>
    <row r="873" customFormat="false" ht="16.5" hidden="false" customHeight="true" outlineLevel="0" collapsed="false">
      <c r="A873" s="42" t="n">
        <v>45739</v>
      </c>
      <c r="B873" s="24" t="s">
        <v>971</v>
      </c>
      <c r="C873" s="43" t="s">
        <v>27</v>
      </c>
      <c r="D873" s="43" t="s">
        <v>81</v>
      </c>
      <c r="E873" s="24" t="n">
        <v>4</v>
      </c>
      <c r="F873" s="44" t="n">
        <v>4.5</v>
      </c>
      <c r="G873" s="24" t="n">
        <v>0</v>
      </c>
      <c r="H873" s="24" t="n">
        <v>12</v>
      </c>
      <c r="I873" s="44" t="n">
        <f aca="false">E873*F873*(1-G873/100)*(1+H873/100)</f>
        <v>20.16</v>
      </c>
      <c r="J873" s="24" t="s">
        <v>28</v>
      </c>
      <c r="K873" s="24" t="s">
        <v>97</v>
      </c>
      <c r="L873" s="43" t="s">
        <v>106</v>
      </c>
      <c r="M873" s="44" t="n">
        <f aca="false">F873*(1-G873/100)-2.8</f>
        <v>1.7</v>
      </c>
      <c r="N873" s="44" t="n">
        <f aca="false">M873*E873</f>
        <v>6.8</v>
      </c>
    </row>
    <row r="874" customFormat="false" ht="16.5" hidden="false" customHeight="true" outlineLevel="0" collapsed="false">
      <c r="A874" s="45" t="n">
        <v>45739</v>
      </c>
      <c r="B874" s="28" t="s">
        <v>972</v>
      </c>
      <c r="C874" s="46" t="s">
        <v>124</v>
      </c>
      <c r="D874" s="46" t="s">
        <v>96</v>
      </c>
      <c r="E874" s="28" t="n">
        <v>5</v>
      </c>
      <c r="F874" s="47" t="n">
        <v>4</v>
      </c>
      <c r="G874" s="28" t="n">
        <v>0</v>
      </c>
      <c r="H874" s="28" t="n">
        <v>12</v>
      </c>
      <c r="I874" s="47" t="n">
        <f aca="false">E874*F874*(1-G874/100)*(1+H874/100)</f>
        <v>22.4</v>
      </c>
      <c r="J874" s="28" t="s">
        <v>28</v>
      </c>
      <c r="K874" s="28" t="s">
        <v>101</v>
      </c>
      <c r="L874" s="46" t="s">
        <v>94</v>
      </c>
      <c r="M874" s="47" t="n">
        <f aca="false">F874*(1-G874/100)-1.8</f>
        <v>2.2</v>
      </c>
      <c r="N874" s="47" t="n">
        <f aca="false">M874*E874</f>
        <v>11</v>
      </c>
    </row>
    <row r="875" customFormat="false" ht="16.5" hidden="false" customHeight="true" outlineLevel="0" collapsed="false">
      <c r="A875" s="42" t="n">
        <v>45739</v>
      </c>
      <c r="B875" s="24" t="s">
        <v>973</v>
      </c>
      <c r="C875" s="43" t="s">
        <v>27</v>
      </c>
      <c r="D875" s="43" t="s">
        <v>81</v>
      </c>
      <c r="E875" s="24" t="n">
        <v>3</v>
      </c>
      <c r="F875" s="44" t="n">
        <v>4.5</v>
      </c>
      <c r="G875" s="24" t="n">
        <v>10</v>
      </c>
      <c r="H875" s="24" t="n">
        <v>12</v>
      </c>
      <c r="I875" s="44" t="n">
        <f aca="false">E875*F875*(1-G875/100)*(1+H875/100)</f>
        <v>13.608</v>
      </c>
      <c r="J875" s="24" t="s">
        <v>26</v>
      </c>
      <c r="K875" s="24" t="s">
        <v>88</v>
      </c>
      <c r="L875" s="43" t="s">
        <v>89</v>
      </c>
      <c r="M875" s="44" t="n">
        <f aca="false">F875*(1-G875/100)-2.8</f>
        <v>1.25</v>
      </c>
      <c r="N875" s="44" t="n">
        <f aca="false">M875*E875</f>
        <v>3.75</v>
      </c>
    </row>
    <row r="876" customFormat="false" ht="16.5" hidden="false" customHeight="true" outlineLevel="0" collapsed="false">
      <c r="A876" s="45" t="n">
        <v>45739</v>
      </c>
      <c r="B876" s="28" t="s">
        <v>974</v>
      </c>
      <c r="C876" s="46" t="s">
        <v>124</v>
      </c>
      <c r="D876" s="46" t="s">
        <v>96</v>
      </c>
      <c r="E876" s="28" t="n">
        <v>2</v>
      </c>
      <c r="F876" s="47" t="n">
        <v>4</v>
      </c>
      <c r="G876" s="28" t="n">
        <v>0</v>
      </c>
      <c r="H876" s="28" t="n">
        <v>12</v>
      </c>
      <c r="I876" s="47" t="n">
        <f aca="false">E876*F876*(1-G876/100)*(1+H876/100)</f>
        <v>8.96</v>
      </c>
      <c r="J876" s="28" t="s">
        <v>28</v>
      </c>
      <c r="K876" s="28" t="s">
        <v>97</v>
      </c>
      <c r="L876" s="46" t="s">
        <v>117</v>
      </c>
      <c r="M876" s="47" t="n">
        <f aca="false">F876*(1-G876/100)-1.8</f>
        <v>2.2</v>
      </c>
      <c r="N876" s="47" t="n">
        <f aca="false">M876*E876</f>
        <v>4.4</v>
      </c>
    </row>
    <row r="877" customFormat="false" ht="16.5" hidden="false" customHeight="true" outlineLevel="0" collapsed="false">
      <c r="A877" s="42" t="n">
        <v>45739</v>
      </c>
      <c r="B877" s="24" t="s">
        <v>975</v>
      </c>
      <c r="C877" s="43" t="s">
        <v>93</v>
      </c>
      <c r="D877" s="43" t="s">
        <v>81</v>
      </c>
      <c r="E877" s="24" t="n">
        <v>4</v>
      </c>
      <c r="F877" s="44" t="n">
        <v>3</v>
      </c>
      <c r="G877" s="24" t="n">
        <v>0</v>
      </c>
      <c r="H877" s="24" t="n">
        <v>12</v>
      </c>
      <c r="I877" s="44" t="n">
        <f aca="false">E877*F877*(1-G877/100)*(1+H877/100)</f>
        <v>13.44</v>
      </c>
      <c r="J877" s="24" t="s">
        <v>32</v>
      </c>
      <c r="K877" s="24" t="s">
        <v>88</v>
      </c>
      <c r="L877" s="43" t="s">
        <v>122</v>
      </c>
      <c r="M877" s="44" t="n">
        <f aca="false">F877*(1-G877/100)-1.5</f>
        <v>1.5</v>
      </c>
      <c r="N877" s="44" t="n">
        <f aca="false">M877*E877</f>
        <v>6</v>
      </c>
    </row>
    <row r="878" customFormat="false" ht="16.5" hidden="false" customHeight="true" outlineLevel="0" collapsed="false">
      <c r="A878" s="45" t="n">
        <v>45739</v>
      </c>
      <c r="B878" s="28" t="s">
        <v>976</v>
      </c>
      <c r="C878" s="46" t="s">
        <v>93</v>
      </c>
      <c r="D878" s="46" t="s">
        <v>81</v>
      </c>
      <c r="E878" s="28" t="n">
        <v>2</v>
      </c>
      <c r="F878" s="47" t="n">
        <v>3</v>
      </c>
      <c r="G878" s="28" t="n">
        <v>0</v>
      </c>
      <c r="H878" s="28" t="n">
        <v>12</v>
      </c>
      <c r="I878" s="47" t="n">
        <f aca="false">E878*F878*(1-G878/100)*(1+H878/100)</f>
        <v>6.72</v>
      </c>
      <c r="J878" s="28" t="s">
        <v>28</v>
      </c>
      <c r="K878" s="28" t="s">
        <v>85</v>
      </c>
      <c r="L878" s="46" t="s">
        <v>89</v>
      </c>
      <c r="M878" s="47" t="n">
        <f aca="false">F878*(1-G878/100)-1.5</f>
        <v>1.5</v>
      </c>
      <c r="N878" s="47" t="n">
        <f aca="false">M878*E878</f>
        <v>3</v>
      </c>
    </row>
    <row r="879" customFormat="false" ht="16.5" hidden="false" customHeight="true" outlineLevel="0" collapsed="false">
      <c r="A879" s="42" t="n">
        <v>45740</v>
      </c>
      <c r="B879" s="24" t="s">
        <v>977</v>
      </c>
      <c r="C879" s="43" t="s">
        <v>113</v>
      </c>
      <c r="D879" s="43" t="s">
        <v>96</v>
      </c>
      <c r="E879" s="24" t="n">
        <v>1</v>
      </c>
      <c r="F879" s="44" t="n">
        <v>6</v>
      </c>
      <c r="G879" s="24" t="n">
        <v>0</v>
      </c>
      <c r="H879" s="24" t="n">
        <v>12</v>
      </c>
      <c r="I879" s="44" t="n">
        <f aca="false">E879*F879*(1-G879/100)*(1+H879/100)</f>
        <v>6.72</v>
      </c>
      <c r="J879" s="24" t="s">
        <v>26</v>
      </c>
      <c r="K879" s="24" t="s">
        <v>97</v>
      </c>
      <c r="L879" s="43" t="s">
        <v>91</v>
      </c>
      <c r="M879" s="44" t="n">
        <f aca="false">F879*(1-G879/100)-2.8</f>
        <v>3.2</v>
      </c>
      <c r="N879" s="44" t="n">
        <f aca="false">M879*E879</f>
        <v>3.2</v>
      </c>
    </row>
    <row r="880" customFormat="false" ht="16.5" hidden="false" customHeight="true" outlineLevel="0" collapsed="false">
      <c r="A880" s="45" t="n">
        <v>45740</v>
      </c>
      <c r="B880" s="28" t="s">
        <v>978</v>
      </c>
      <c r="C880" s="46" t="s">
        <v>36</v>
      </c>
      <c r="D880" s="46" t="s">
        <v>96</v>
      </c>
      <c r="E880" s="28" t="n">
        <v>3</v>
      </c>
      <c r="F880" s="47" t="n">
        <v>8.5</v>
      </c>
      <c r="G880" s="28" t="n">
        <v>0</v>
      </c>
      <c r="H880" s="28" t="n">
        <v>12</v>
      </c>
      <c r="I880" s="47" t="n">
        <f aca="false">E880*F880*(1-G880/100)*(1+H880/100)</f>
        <v>28.56</v>
      </c>
      <c r="J880" s="28" t="s">
        <v>28</v>
      </c>
      <c r="K880" s="28" t="s">
        <v>88</v>
      </c>
      <c r="L880" s="46" t="s">
        <v>94</v>
      </c>
      <c r="M880" s="47" t="n">
        <f aca="false">F880*(1-G880/100)-4.2</f>
        <v>4.3</v>
      </c>
      <c r="N880" s="47" t="n">
        <f aca="false">M880*E880</f>
        <v>12.9</v>
      </c>
    </row>
    <row r="881" customFormat="false" ht="16.5" hidden="false" customHeight="true" outlineLevel="0" collapsed="false">
      <c r="A881" s="42" t="n">
        <v>45740</v>
      </c>
      <c r="B881" s="24" t="s">
        <v>979</v>
      </c>
      <c r="C881" s="43" t="s">
        <v>35</v>
      </c>
      <c r="D881" s="43" t="s">
        <v>81</v>
      </c>
      <c r="E881" s="24" t="n">
        <v>4</v>
      </c>
      <c r="F881" s="44" t="n">
        <v>1.5</v>
      </c>
      <c r="G881" s="24" t="n">
        <v>0</v>
      </c>
      <c r="H881" s="24" t="n">
        <v>12</v>
      </c>
      <c r="I881" s="44" t="n">
        <f aca="false">E881*F881*(1-G881/100)*(1+H881/100)</f>
        <v>6.72</v>
      </c>
      <c r="J881" s="24" t="s">
        <v>34</v>
      </c>
      <c r="K881" s="24" t="s">
        <v>88</v>
      </c>
      <c r="L881" s="43" t="s">
        <v>111</v>
      </c>
      <c r="M881" s="44" t="n">
        <f aca="false">F881*(1-G881/100)-0.6</f>
        <v>0.9</v>
      </c>
      <c r="N881" s="44" t="n">
        <f aca="false">M881*E881</f>
        <v>3.6</v>
      </c>
    </row>
    <row r="882" customFormat="false" ht="16.5" hidden="false" customHeight="true" outlineLevel="0" collapsed="false">
      <c r="A882" s="45" t="n">
        <v>45740</v>
      </c>
      <c r="B882" s="28" t="s">
        <v>980</v>
      </c>
      <c r="C882" s="46" t="s">
        <v>113</v>
      </c>
      <c r="D882" s="46" t="s">
        <v>96</v>
      </c>
      <c r="E882" s="28" t="n">
        <v>2</v>
      </c>
      <c r="F882" s="47" t="n">
        <v>6</v>
      </c>
      <c r="G882" s="28" t="n">
        <v>0</v>
      </c>
      <c r="H882" s="28" t="n">
        <v>12</v>
      </c>
      <c r="I882" s="47" t="n">
        <f aca="false">E882*F882*(1-G882/100)*(1+H882/100)</f>
        <v>13.44</v>
      </c>
      <c r="J882" s="28" t="s">
        <v>24</v>
      </c>
      <c r="K882" s="28" t="s">
        <v>82</v>
      </c>
      <c r="L882" s="46" t="s">
        <v>91</v>
      </c>
      <c r="M882" s="47" t="n">
        <f aca="false">F882*(1-G882/100)-2.8</f>
        <v>3.2</v>
      </c>
      <c r="N882" s="47" t="n">
        <f aca="false">M882*E882</f>
        <v>6.4</v>
      </c>
    </row>
    <row r="883" customFormat="false" ht="16.5" hidden="false" customHeight="true" outlineLevel="0" collapsed="false">
      <c r="A883" s="42" t="n">
        <v>45740</v>
      </c>
      <c r="B883" s="24" t="s">
        <v>981</v>
      </c>
      <c r="C883" s="43" t="s">
        <v>35</v>
      </c>
      <c r="D883" s="43" t="s">
        <v>81</v>
      </c>
      <c r="E883" s="24" t="n">
        <v>1</v>
      </c>
      <c r="F883" s="44" t="n">
        <v>1.5</v>
      </c>
      <c r="G883" s="24" t="n">
        <v>0</v>
      </c>
      <c r="H883" s="24" t="n">
        <v>12</v>
      </c>
      <c r="I883" s="44" t="n">
        <f aca="false">E883*F883*(1-G883/100)*(1+H883/100)</f>
        <v>1.68</v>
      </c>
      <c r="J883" s="24" t="s">
        <v>26</v>
      </c>
      <c r="K883" s="24" t="s">
        <v>85</v>
      </c>
      <c r="L883" s="43" t="s">
        <v>98</v>
      </c>
      <c r="M883" s="44" t="n">
        <f aca="false">F883*(1-G883/100)-0.6</f>
        <v>0.9</v>
      </c>
      <c r="N883" s="44" t="n">
        <f aca="false">M883*E883</f>
        <v>0.9</v>
      </c>
    </row>
    <row r="884" customFormat="false" ht="16.5" hidden="false" customHeight="true" outlineLevel="0" collapsed="false">
      <c r="A884" s="45" t="n">
        <v>45740</v>
      </c>
      <c r="B884" s="28" t="s">
        <v>982</v>
      </c>
      <c r="C884" s="46" t="s">
        <v>27</v>
      </c>
      <c r="D884" s="46" t="s">
        <v>81</v>
      </c>
      <c r="E884" s="28" t="n">
        <v>1</v>
      </c>
      <c r="F884" s="47" t="n">
        <v>4.5</v>
      </c>
      <c r="G884" s="28" t="n">
        <v>5</v>
      </c>
      <c r="H884" s="28" t="n">
        <v>12</v>
      </c>
      <c r="I884" s="47" t="n">
        <f aca="false">E884*F884*(1-G884/100)*(1+H884/100)</f>
        <v>4.788</v>
      </c>
      <c r="J884" s="28" t="s">
        <v>34</v>
      </c>
      <c r="K884" s="28" t="s">
        <v>101</v>
      </c>
      <c r="L884" s="46" t="s">
        <v>86</v>
      </c>
      <c r="M884" s="47" t="n">
        <f aca="false">F884*(1-G884/100)-2.8</f>
        <v>1.475</v>
      </c>
      <c r="N884" s="47" t="n">
        <f aca="false">M884*E884</f>
        <v>1.475</v>
      </c>
    </row>
    <row r="885" customFormat="false" ht="16.5" hidden="false" customHeight="true" outlineLevel="0" collapsed="false">
      <c r="A885" s="42" t="n">
        <v>45740</v>
      </c>
      <c r="B885" s="24" t="s">
        <v>983</v>
      </c>
      <c r="C885" s="43" t="s">
        <v>113</v>
      </c>
      <c r="D885" s="43" t="s">
        <v>96</v>
      </c>
      <c r="E885" s="24" t="n">
        <v>5</v>
      </c>
      <c r="F885" s="44" t="n">
        <v>6</v>
      </c>
      <c r="G885" s="24" t="n">
        <v>0</v>
      </c>
      <c r="H885" s="24" t="n">
        <v>12</v>
      </c>
      <c r="I885" s="44" t="n">
        <f aca="false">E885*F885*(1-G885/100)*(1+H885/100)</f>
        <v>33.6</v>
      </c>
      <c r="J885" s="24" t="s">
        <v>24</v>
      </c>
      <c r="K885" s="24" t="s">
        <v>97</v>
      </c>
      <c r="L885" s="43" t="s">
        <v>89</v>
      </c>
      <c r="M885" s="44" t="n">
        <f aca="false">F885*(1-G885/100)-2.8</f>
        <v>3.2</v>
      </c>
      <c r="N885" s="44" t="n">
        <f aca="false">M885*E885</f>
        <v>16</v>
      </c>
    </row>
    <row r="886" customFormat="false" ht="16.5" hidden="false" customHeight="true" outlineLevel="0" collapsed="false">
      <c r="A886" s="45" t="n">
        <v>45740</v>
      </c>
      <c r="B886" s="28" t="s">
        <v>984</v>
      </c>
      <c r="C886" s="46" t="s">
        <v>29</v>
      </c>
      <c r="D886" s="46" t="s">
        <v>104</v>
      </c>
      <c r="E886" s="28" t="n">
        <v>1</v>
      </c>
      <c r="F886" s="47" t="n">
        <v>2.5</v>
      </c>
      <c r="G886" s="28" t="n">
        <v>5</v>
      </c>
      <c r="H886" s="28" t="n">
        <v>12</v>
      </c>
      <c r="I886" s="47" t="n">
        <f aca="false">E886*F886*(1-G886/100)*(1+H886/100)</f>
        <v>2.66</v>
      </c>
      <c r="J886" s="28" t="s">
        <v>28</v>
      </c>
      <c r="K886" s="28" t="s">
        <v>82</v>
      </c>
      <c r="L886" s="46" t="s">
        <v>91</v>
      </c>
      <c r="M886" s="47" t="n">
        <f aca="false">F886*(1-G886/100)-1.1</f>
        <v>1.275</v>
      </c>
      <c r="N886" s="47" t="n">
        <f aca="false">M886*E886</f>
        <v>1.275</v>
      </c>
    </row>
    <row r="887" customFormat="false" ht="16.5" hidden="false" customHeight="true" outlineLevel="0" collapsed="false">
      <c r="A887" s="42" t="n">
        <v>45740</v>
      </c>
      <c r="B887" s="24" t="s">
        <v>985</v>
      </c>
      <c r="C887" s="43" t="s">
        <v>35</v>
      </c>
      <c r="D887" s="43" t="s">
        <v>81</v>
      </c>
      <c r="E887" s="24" t="n">
        <v>4</v>
      </c>
      <c r="F887" s="44" t="n">
        <v>1.5</v>
      </c>
      <c r="G887" s="24" t="n">
        <v>0</v>
      </c>
      <c r="H887" s="24" t="n">
        <v>12</v>
      </c>
      <c r="I887" s="44" t="n">
        <f aca="false">E887*F887*(1-G887/100)*(1+H887/100)</f>
        <v>6.72</v>
      </c>
      <c r="J887" s="24" t="s">
        <v>26</v>
      </c>
      <c r="K887" s="24" t="s">
        <v>88</v>
      </c>
      <c r="L887" s="43" t="s">
        <v>83</v>
      </c>
      <c r="M887" s="44" t="n">
        <f aca="false">F887*(1-G887/100)-0.6</f>
        <v>0.9</v>
      </c>
      <c r="N887" s="44" t="n">
        <f aca="false">M887*E887</f>
        <v>3.6</v>
      </c>
    </row>
    <row r="888" customFormat="false" ht="16.5" hidden="false" customHeight="true" outlineLevel="0" collapsed="false">
      <c r="A888" s="45" t="n">
        <v>45740</v>
      </c>
      <c r="B888" s="28" t="s">
        <v>986</v>
      </c>
      <c r="C888" s="46" t="s">
        <v>25</v>
      </c>
      <c r="D888" s="46" t="s">
        <v>81</v>
      </c>
      <c r="E888" s="28" t="n">
        <v>1</v>
      </c>
      <c r="F888" s="47" t="n">
        <v>3.5</v>
      </c>
      <c r="G888" s="28" t="n">
        <v>0</v>
      </c>
      <c r="H888" s="28" t="n">
        <v>12</v>
      </c>
      <c r="I888" s="47" t="n">
        <f aca="false">E888*F888*(1-G888/100)*(1+H888/100)</f>
        <v>3.92</v>
      </c>
      <c r="J888" s="28" t="s">
        <v>28</v>
      </c>
      <c r="K888" s="28" t="s">
        <v>85</v>
      </c>
      <c r="L888" s="46" t="s">
        <v>111</v>
      </c>
      <c r="M888" s="47" t="n">
        <f aca="false">F888*(1-G888/100)-2.2</f>
        <v>1.3</v>
      </c>
      <c r="N888" s="47" t="n">
        <f aca="false">M888*E888</f>
        <v>1.3</v>
      </c>
    </row>
    <row r="889" customFormat="false" ht="16.5" hidden="false" customHeight="true" outlineLevel="0" collapsed="false">
      <c r="A889" s="42" t="n">
        <v>45740</v>
      </c>
      <c r="B889" s="24" t="s">
        <v>987</v>
      </c>
      <c r="C889" s="43" t="s">
        <v>124</v>
      </c>
      <c r="D889" s="43" t="s">
        <v>96</v>
      </c>
      <c r="E889" s="24" t="n">
        <v>3</v>
      </c>
      <c r="F889" s="44" t="n">
        <v>4</v>
      </c>
      <c r="G889" s="24" t="n">
        <v>10</v>
      </c>
      <c r="H889" s="24" t="n">
        <v>12</v>
      </c>
      <c r="I889" s="44" t="n">
        <f aca="false">E889*F889*(1-G889/100)*(1+H889/100)</f>
        <v>12.096</v>
      </c>
      <c r="J889" s="24" t="s">
        <v>32</v>
      </c>
      <c r="K889" s="24" t="s">
        <v>82</v>
      </c>
      <c r="L889" s="43" t="s">
        <v>117</v>
      </c>
      <c r="M889" s="44" t="n">
        <f aca="false">F889*(1-G889/100)-1.8</f>
        <v>1.8</v>
      </c>
      <c r="N889" s="44" t="n">
        <f aca="false">M889*E889</f>
        <v>5.4</v>
      </c>
    </row>
    <row r="890" customFormat="false" ht="16.5" hidden="false" customHeight="true" outlineLevel="0" collapsed="false">
      <c r="A890" s="45" t="n">
        <v>45740</v>
      </c>
      <c r="B890" s="28" t="s">
        <v>988</v>
      </c>
      <c r="C890" s="46" t="s">
        <v>29</v>
      </c>
      <c r="D890" s="46" t="s">
        <v>104</v>
      </c>
      <c r="E890" s="28" t="n">
        <v>5</v>
      </c>
      <c r="F890" s="47" t="n">
        <v>2.5</v>
      </c>
      <c r="G890" s="28" t="n">
        <v>10</v>
      </c>
      <c r="H890" s="28" t="n">
        <v>12</v>
      </c>
      <c r="I890" s="47" t="n">
        <f aca="false">E890*F890*(1-G890/100)*(1+H890/100)</f>
        <v>12.6</v>
      </c>
      <c r="J890" s="28" t="s">
        <v>32</v>
      </c>
      <c r="K890" s="28" t="s">
        <v>88</v>
      </c>
      <c r="L890" s="46" t="s">
        <v>94</v>
      </c>
      <c r="M890" s="47" t="n">
        <f aca="false">F890*(1-G890/100)-1.1</f>
        <v>1.15</v>
      </c>
      <c r="N890" s="47" t="n">
        <f aca="false">M890*E890</f>
        <v>5.75</v>
      </c>
    </row>
    <row r="891" customFormat="false" ht="16.5" hidden="false" customHeight="true" outlineLevel="0" collapsed="false">
      <c r="A891" s="42" t="n">
        <v>45740</v>
      </c>
      <c r="B891" s="24" t="s">
        <v>989</v>
      </c>
      <c r="C891" s="43" t="s">
        <v>124</v>
      </c>
      <c r="D891" s="43" t="s">
        <v>96</v>
      </c>
      <c r="E891" s="24" t="n">
        <v>5</v>
      </c>
      <c r="F891" s="44" t="n">
        <v>4</v>
      </c>
      <c r="G891" s="24" t="n">
        <v>0</v>
      </c>
      <c r="H891" s="24" t="n">
        <v>12</v>
      </c>
      <c r="I891" s="44" t="n">
        <f aca="false">E891*F891*(1-G891/100)*(1+H891/100)</f>
        <v>22.4</v>
      </c>
      <c r="J891" s="24" t="s">
        <v>28</v>
      </c>
      <c r="K891" s="24" t="s">
        <v>85</v>
      </c>
      <c r="L891" s="43" t="s">
        <v>117</v>
      </c>
      <c r="M891" s="44" t="n">
        <f aca="false">F891*(1-G891/100)-1.8</f>
        <v>2.2</v>
      </c>
      <c r="N891" s="44" t="n">
        <f aca="false">M891*E891</f>
        <v>11</v>
      </c>
    </row>
    <row r="892" customFormat="false" ht="16.5" hidden="false" customHeight="true" outlineLevel="0" collapsed="false">
      <c r="A892" s="45" t="n">
        <v>45740</v>
      </c>
      <c r="B892" s="28" t="s">
        <v>990</v>
      </c>
      <c r="C892" s="46" t="s">
        <v>33</v>
      </c>
      <c r="D892" s="46" t="s">
        <v>104</v>
      </c>
      <c r="E892" s="28" t="n">
        <v>1</v>
      </c>
      <c r="F892" s="47" t="n">
        <v>5</v>
      </c>
      <c r="G892" s="28" t="n">
        <v>5</v>
      </c>
      <c r="H892" s="28" t="n">
        <v>12</v>
      </c>
      <c r="I892" s="47" t="n">
        <f aca="false">E892*F892*(1-G892/100)*(1+H892/100)</f>
        <v>5.32</v>
      </c>
      <c r="J892" s="28" t="s">
        <v>28</v>
      </c>
      <c r="K892" s="28" t="s">
        <v>97</v>
      </c>
      <c r="L892" s="46" t="s">
        <v>94</v>
      </c>
      <c r="M892" s="47" t="n">
        <f aca="false">F892*(1-G892/100)-2.5</f>
        <v>2.25</v>
      </c>
      <c r="N892" s="47" t="n">
        <f aca="false">M892*E892</f>
        <v>2.25</v>
      </c>
    </row>
    <row r="893" customFormat="false" ht="16.5" hidden="false" customHeight="true" outlineLevel="0" collapsed="false">
      <c r="A893" s="42" t="n">
        <v>45741</v>
      </c>
      <c r="B893" s="24" t="s">
        <v>991</v>
      </c>
      <c r="C893" s="43" t="s">
        <v>29</v>
      </c>
      <c r="D893" s="43" t="s">
        <v>104</v>
      </c>
      <c r="E893" s="24" t="n">
        <v>3</v>
      </c>
      <c r="F893" s="44" t="n">
        <v>2.5</v>
      </c>
      <c r="G893" s="24" t="n">
        <v>0</v>
      </c>
      <c r="H893" s="24" t="n">
        <v>12</v>
      </c>
      <c r="I893" s="44" t="n">
        <f aca="false">E893*F893*(1-G893/100)*(1+H893/100)</f>
        <v>8.4</v>
      </c>
      <c r="J893" s="24" t="s">
        <v>24</v>
      </c>
      <c r="K893" s="24" t="s">
        <v>88</v>
      </c>
      <c r="L893" s="43" t="s">
        <v>83</v>
      </c>
      <c r="M893" s="44" t="n">
        <f aca="false">F893*(1-G893/100)-1.1</f>
        <v>1.4</v>
      </c>
      <c r="N893" s="44" t="n">
        <f aca="false">M893*E893</f>
        <v>4.2</v>
      </c>
    </row>
    <row r="894" customFormat="false" ht="16.5" hidden="false" customHeight="true" outlineLevel="0" collapsed="false">
      <c r="A894" s="45" t="n">
        <v>45741</v>
      </c>
      <c r="B894" s="28" t="s">
        <v>992</v>
      </c>
      <c r="C894" s="46" t="s">
        <v>36</v>
      </c>
      <c r="D894" s="46" t="s">
        <v>96</v>
      </c>
      <c r="E894" s="28" t="n">
        <v>3</v>
      </c>
      <c r="F894" s="47" t="n">
        <v>8.5</v>
      </c>
      <c r="G894" s="28" t="n">
        <v>5</v>
      </c>
      <c r="H894" s="28" t="n">
        <v>12</v>
      </c>
      <c r="I894" s="47" t="n">
        <f aca="false">E894*F894*(1-G894/100)*(1+H894/100)</f>
        <v>27.132</v>
      </c>
      <c r="J894" s="28" t="s">
        <v>34</v>
      </c>
      <c r="K894" s="28" t="s">
        <v>101</v>
      </c>
      <c r="L894" s="46" t="s">
        <v>111</v>
      </c>
      <c r="M894" s="47" t="n">
        <f aca="false">F894*(1-G894/100)-4.2</f>
        <v>3.875</v>
      </c>
      <c r="N894" s="47" t="n">
        <f aca="false">M894*E894</f>
        <v>11.625</v>
      </c>
    </row>
    <row r="895" customFormat="false" ht="16.5" hidden="false" customHeight="true" outlineLevel="0" collapsed="false">
      <c r="A895" s="42" t="n">
        <v>45741</v>
      </c>
      <c r="B895" s="24" t="s">
        <v>993</v>
      </c>
      <c r="C895" s="43" t="s">
        <v>93</v>
      </c>
      <c r="D895" s="43" t="s">
        <v>81</v>
      </c>
      <c r="E895" s="24" t="n">
        <v>3</v>
      </c>
      <c r="F895" s="44" t="n">
        <v>3</v>
      </c>
      <c r="G895" s="24" t="n">
        <v>0</v>
      </c>
      <c r="H895" s="24" t="n">
        <v>12</v>
      </c>
      <c r="I895" s="44" t="n">
        <f aca="false">E895*F895*(1-G895/100)*(1+H895/100)</f>
        <v>10.08</v>
      </c>
      <c r="J895" s="24" t="s">
        <v>32</v>
      </c>
      <c r="K895" s="24" t="s">
        <v>97</v>
      </c>
      <c r="L895" s="43" t="s">
        <v>89</v>
      </c>
      <c r="M895" s="44" t="n">
        <f aca="false">F895*(1-G895/100)-1.5</f>
        <v>1.5</v>
      </c>
      <c r="N895" s="44" t="n">
        <f aca="false">M895*E895</f>
        <v>4.5</v>
      </c>
    </row>
    <row r="896" customFormat="false" ht="16.5" hidden="false" customHeight="true" outlineLevel="0" collapsed="false">
      <c r="A896" s="45" t="n">
        <v>45741</v>
      </c>
      <c r="B896" s="28" t="s">
        <v>994</v>
      </c>
      <c r="C896" s="46" t="s">
        <v>33</v>
      </c>
      <c r="D896" s="46" t="s">
        <v>104</v>
      </c>
      <c r="E896" s="28" t="n">
        <v>1</v>
      </c>
      <c r="F896" s="47" t="n">
        <v>5</v>
      </c>
      <c r="G896" s="28" t="n">
        <v>10</v>
      </c>
      <c r="H896" s="28" t="n">
        <v>12</v>
      </c>
      <c r="I896" s="47" t="n">
        <f aca="false">E896*F896*(1-G896/100)*(1+H896/100)</f>
        <v>5.04</v>
      </c>
      <c r="J896" s="28" t="s">
        <v>28</v>
      </c>
      <c r="K896" s="28" t="s">
        <v>82</v>
      </c>
      <c r="L896" s="46" t="s">
        <v>94</v>
      </c>
      <c r="M896" s="47" t="n">
        <f aca="false">F896*(1-G896/100)-2.5</f>
        <v>2</v>
      </c>
      <c r="N896" s="47" t="n">
        <f aca="false">M896*E896</f>
        <v>2</v>
      </c>
    </row>
    <row r="897" customFormat="false" ht="16.5" hidden="false" customHeight="true" outlineLevel="0" collapsed="false">
      <c r="A897" s="42" t="n">
        <v>45741</v>
      </c>
      <c r="B897" s="24" t="s">
        <v>995</v>
      </c>
      <c r="C897" s="43" t="s">
        <v>124</v>
      </c>
      <c r="D897" s="43" t="s">
        <v>96</v>
      </c>
      <c r="E897" s="24" t="n">
        <v>4</v>
      </c>
      <c r="F897" s="44" t="n">
        <v>4</v>
      </c>
      <c r="G897" s="24" t="n">
        <v>5</v>
      </c>
      <c r="H897" s="24" t="n">
        <v>12</v>
      </c>
      <c r="I897" s="44" t="n">
        <f aca="false">E897*F897*(1-G897/100)*(1+H897/100)</f>
        <v>17.024</v>
      </c>
      <c r="J897" s="24" t="s">
        <v>26</v>
      </c>
      <c r="K897" s="24" t="s">
        <v>82</v>
      </c>
      <c r="L897" s="43" t="s">
        <v>94</v>
      </c>
      <c r="M897" s="44" t="n">
        <f aca="false">F897*(1-G897/100)-1.8</f>
        <v>2</v>
      </c>
      <c r="N897" s="44" t="n">
        <f aca="false">M897*E897</f>
        <v>8</v>
      </c>
    </row>
    <row r="898" customFormat="false" ht="16.5" hidden="false" customHeight="true" outlineLevel="0" collapsed="false">
      <c r="A898" s="45" t="n">
        <v>45741</v>
      </c>
      <c r="B898" s="28" t="s">
        <v>996</v>
      </c>
      <c r="C898" s="46" t="s">
        <v>113</v>
      </c>
      <c r="D898" s="46" t="s">
        <v>96</v>
      </c>
      <c r="E898" s="28" t="n">
        <v>2</v>
      </c>
      <c r="F898" s="47" t="n">
        <v>6</v>
      </c>
      <c r="G898" s="28" t="n">
        <v>0</v>
      </c>
      <c r="H898" s="28" t="n">
        <v>12</v>
      </c>
      <c r="I898" s="47" t="n">
        <f aca="false">E898*F898*(1-G898/100)*(1+H898/100)</f>
        <v>13.44</v>
      </c>
      <c r="J898" s="28" t="s">
        <v>24</v>
      </c>
      <c r="K898" s="28" t="s">
        <v>85</v>
      </c>
      <c r="L898" s="46" t="s">
        <v>91</v>
      </c>
      <c r="M898" s="47" t="n">
        <f aca="false">F898*(1-G898/100)-2.8</f>
        <v>3.2</v>
      </c>
      <c r="N898" s="47" t="n">
        <f aca="false">M898*E898</f>
        <v>6.4</v>
      </c>
    </row>
    <row r="899" customFormat="false" ht="16.5" hidden="false" customHeight="true" outlineLevel="0" collapsed="false">
      <c r="A899" s="42" t="n">
        <v>45741</v>
      </c>
      <c r="B899" s="24" t="s">
        <v>997</v>
      </c>
      <c r="C899" s="43" t="s">
        <v>124</v>
      </c>
      <c r="D899" s="43" t="s">
        <v>96</v>
      </c>
      <c r="E899" s="24" t="n">
        <v>5</v>
      </c>
      <c r="F899" s="44" t="n">
        <v>4</v>
      </c>
      <c r="G899" s="24" t="n">
        <v>0</v>
      </c>
      <c r="H899" s="24" t="n">
        <v>12</v>
      </c>
      <c r="I899" s="44" t="n">
        <f aca="false">E899*F899*(1-G899/100)*(1+H899/100)</f>
        <v>22.4</v>
      </c>
      <c r="J899" s="24" t="s">
        <v>28</v>
      </c>
      <c r="K899" s="24" t="s">
        <v>88</v>
      </c>
      <c r="L899" s="43" t="s">
        <v>122</v>
      </c>
      <c r="M899" s="44" t="n">
        <f aca="false">F899*(1-G899/100)-1.8</f>
        <v>2.2</v>
      </c>
      <c r="N899" s="44" t="n">
        <f aca="false">M899*E899</f>
        <v>11</v>
      </c>
    </row>
    <row r="900" customFormat="false" ht="16.5" hidden="false" customHeight="true" outlineLevel="0" collapsed="false">
      <c r="A900" s="45" t="n">
        <v>45741</v>
      </c>
      <c r="B900" s="28" t="s">
        <v>998</v>
      </c>
      <c r="C900" s="46" t="s">
        <v>113</v>
      </c>
      <c r="D900" s="46" t="s">
        <v>96</v>
      </c>
      <c r="E900" s="28" t="n">
        <v>2</v>
      </c>
      <c r="F900" s="47" t="n">
        <v>6</v>
      </c>
      <c r="G900" s="28" t="n">
        <v>0</v>
      </c>
      <c r="H900" s="28" t="n">
        <v>12</v>
      </c>
      <c r="I900" s="47" t="n">
        <f aca="false">E900*F900*(1-G900/100)*(1+H900/100)</f>
        <v>13.44</v>
      </c>
      <c r="J900" s="28" t="s">
        <v>26</v>
      </c>
      <c r="K900" s="28" t="s">
        <v>82</v>
      </c>
      <c r="L900" s="46" t="s">
        <v>122</v>
      </c>
      <c r="M900" s="47" t="n">
        <f aca="false">F900*(1-G900/100)-2.8</f>
        <v>3.2</v>
      </c>
      <c r="N900" s="47" t="n">
        <f aca="false">M900*E900</f>
        <v>6.4</v>
      </c>
    </row>
    <row r="901" customFormat="false" ht="16.5" hidden="false" customHeight="true" outlineLevel="0" collapsed="false">
      <c r="A901" s="42" t="n">
        <v>45741</v>
      </c>
      <c r="B901" s="24" t="s">
        <v>999</v>
      </c>
      <c r="C901" s="43" t="s">
        <v>27</v>
      </c>
      <c r="D901" s="43" t="s">
        <v>81</v>
      </c>
      <c r="E901" s="24" t="n">
        <v>4</v>
      </c>
      <c r="F901" s="44" t="n">
        <v>4.5</v>
      </c>
      <c r="G901" s="24" t="n">
        <v>10</v>
      </c>
      <c r="H901" s="24" t="n">
        <v>12</v>
      </c>
      <c r="I901" s="44" t="n">
        <f aca="false">E901*F901*(1-G901/100)*(1+H901/100)</f>
        <v>18.144</v>
      </c>
      <c r="J901" s="24" t="s">
        <v>32</v>
      </c>
      <c r="K901" s="24" t="s">
        <v>97</v>
      </c>
      <c r="L901" s="43" t="s">
        <v>89</v>
      </c>
      <c r="M901" s="44" t="n">
        <f aca="false">F901*(1-G901/100)-2.8</f>
        <v>1.25</v>
      </c>
      <c r="N901" s="44" t="n">
        <f aca="false">M901*E901</f>
        <v>5</v>
      </c>
    </row>
    <row r="902" customFormat="false" ht="16.5" hidden="false" customHeight="true" outlineLevel="0" collapsed="false">
      <c r="A902" s="45" t="n">
        <v>45742</v>
      </c>
      <c r="B902" s="28" t="s">
        <v>1000</v>
      </c>
      <c r="C902" s="46" t="s">
        <v>33</v>
      </c>
      <c r="D902" s="46" t="s">
        <v>104</v>
      </c>
      <c r="E902" s="28" t="n">
        <v>3</v>
      </c>
      <c r="F902" s="47" t="n">
        <v>5</v>
      </c>
      <c r="G902" s="28" t="n">
        <v>0</v>
      </c>
      <c r="H902" s="28" t="n">
        <v>12</v>
      </c>
      <c r="I902" s="47" t="n">
        <f aca="false">E902*F902*(1-G902/100)*(1+H902/100)</f>
        <v>16.8</v>
      </c>
      <c r="J902" s="28" t="s">
        <v>26</v>
      </c>
      <c r="K902" s="28" t="s">
        <v>101</v>
      </c>
      <c r="L902" s="46" t="s">
        <v>117</v>
      </c>
      <c r="M902" s="47" t="n">
        <f aca="false">F902*(1-G902/100)-2.5</f>
        <v>2.5</v>
      </c>
      <c r="N902" s="47" t="n">
        <f aca="false">M902*E902</f>
        <v>7.5</v>
      </c>
    </row>
    <row r="903" customFormat="false" ht="16.5" hidden="false" customHeight="true" outlineLevel="0" collapsed="false">
      <c r="A903" s="42" t="n">
        <v>45742</v>
      </c>
      <c r="B903" s="24" t="s">
        <v>1001</v>
      </c>
      <c r="C903" s="43" t="s">
        <v>25</v>
      </c>
      <c r="D903" s="43" t="s">
        <v>81</v>
      </c>
      <c r="E903" s="24" t="n">
        <v>2</v>
      </c>
      <c r="F903" s="44" t="n">
        <v>3.5</v>
      </c>
      <c r="G903" s="24" t="n">
        <v>0</v>
      </c>
      <c r="H903" s="24" t="n">
        <v>12</v>
      </c>
      <c r="I903" s="44" t="n">
        <f aca="false">E903*F903*(1-G903/100)*(1+H903/100)</f>
        <v>7.84</v>
      </c>
      <c r="J903" s="24" t="s">
        <v>28</v>
      </c>
      <c r="K903" s="24" t="s">
        <v>97</v>
      </c>
      <c r="L903" s="43" t="s">
        <v>83</v>
      </c>
      <c r="M903" s="44" t="n">
        <f aca="false">F903*(1-G903/100)-2.2</f>
        <v>1.3</v>
      </c>
      <c r="N903" s="44" t="n">
        <f aca="false">M903*E903</f>
        <v>2.6</v>
      </c>
    </row>
    <row r="904" customFormat="false" ht="16.5" hidden="false" customHeight="true" outlineLevel="0" collapsed="false">
      <c r="A904" s="45" t="n">
        <v>45742</v>
      </c>
      <c r="B904" s="28" t="s">
        <v>1002</v>
      </c>
      <c r="C904" s="46" t="s">
        <v>93</v>
      </c>
      <c r="D904" s="46" t="s">
        <v>81</v>
      </c>
      <c r="E904" s="28" t="n">
        <v>1</v>
      </c>
      <c r="F904" s="47" t="n">
        <v>3</v>
      </c>
      <c r="G904" s="28" t="n">
        <v>0</v>
      </c>
      <c r="H904" s="28" t="n">
        <v>12</v>
      </c>
      <c r="I904" s="47" t="n">
        <f aca="false">E904*F904*(1-G904/100)*(1+H904/100)</f>
        <v>3.36</v>
      </c>
      <c r="J904" s="28" t="s">
        <v>24</v>
      </c>
      <c r="K904" s="28" t="s">
        <v>82</v>
      </c>
      <c r="L904" s="46" t="s">
        <v>86</v>
      </c>
      <c r="M904" s="47" t="n">
        <f aca="false">F904*(1-G904/100)-1.5</f>
        <v>1.5</v>
      </c>
      <c r="N904" s="47" t="n">
        <f aca="false">M904*E904</f>
        <v>1.5</v>
      </c>
    </row>
    <row r="905" customFormat="false" ht="16.5" hidden="false" customHeight="true" outlineLevel="0" collapsed="false">
      <c r="A905" s="42" t="n">
        <v>45742</v>
      </c>
      <c r="B905" s="24" t="s">
        <v>1003</v>
      </c>
      <c r="C905" s="43" t="s">
        <v>93</v>
      </c>
      <c r="D905" s="43" t="s">
        <v>81</v>
      </c>
      <c r="E905" s="24" t="n">
        <v>2</v>
      </c>
      <c r="F905" s="44" t="n">
        <v>3</v>
      </c>
      <c r="G905" s="24" t="n">
        <v>0</v>
      </c>
      <c r="H905" s="24" t="n">
        <v>12</v>
      </c>
      <c r="I905" s="44" t="n">
        <f aca="false">E905*F905*(1-G905/100)*(1+H905/100)</f>
        <v>6.72</v>
      </c>
      <c r="J905" s="24" t="s">
        <v>32</v>
      </c>
      <c r="K905" s="24" t="s">
        <v>97</v>
      </c>
      <c r="L905" s="43" t="s">
        <v>111</v>
      </c>
      <c r="M905" s="44" t="n">
        <f aca="false">F905*(1-G905/100)-1.5</f>
        <v>1.5</v>
      </c>
      <c r="N905" s="44" t="n">
        <f aca="false">M905*E905</f>
        <v>3</v>
      </c>
    </row>
    <row r="906" customFormat="false" ht="16.5" hidden="false" customHeight="true" outlineLevel="0" collapsed="false">
      <c r="A906" s="45" t="n">
        <v>45742</v>
      </c>
      <c r="B906" s="28" t="s">
        <v>1004</v>
      </c>
      <c r="C906" s="46" t="s">
        <v>36</v>
      </c>
      <c r="D906" s="46" t="s">
        <v>96</v>
      </c>
      <c r="E906" s="28" t="n">
        <v>4</v>
      </c>
      <c r="F906" s="47" t="n">
        <v>8.5</v>
      </c>
      <c r="G906" s="28" t="n">
        <v>0</v>
      </c>
      <c r="H906" s="28" t="n">
        <v>12</v>
      </c>
      <c r="I906" s="47" t="n">
        <f aca="false">E906*F906*(1-G906/100)*(1+H906/100)</f>
        <v>38.08</v>
      </c>
      <c r="J906" s="28" t="s">
        <v>28</v>
      </c>
      <c r="K906" s="28" t="s">
        <v>101</v>
      </c>
      <c r="L906" s="46" t="s">
        <v>83</v>
      </c>
      <c r="M906" s="47" t="n">
        <f aca="false">F906*(1-G906/100)-4.2</f>
        <v>4.3</v>
      </c>
      <c r="N906" s="47" t="n">
        <f aca="false">M906*E906</f>
        <v>17.2</v>
      </c>
    </row>
    <row r="907" customFormat="false" ht="16.5" hidden="false" customHeight="true" outlineLevel="0" collapsed="false">
      <c r="A907" s="42" t="n">
        <v>45742</v>
      </c>
      <c r="B907" s="24" t="s">
        <v>1005</v>
      </c>
      <c r="C907" s="43" t="s">
        <v>25</v>
      </c>
      <c r="D907" s="43" t="s">
        <v>81</v>
      </c>
      <c r="E907" s="24" t="n">
        <v>3</v>
      </c>
      <c r="F907" s="44" t="n">
        <v>3.5</v>
      </c>
      <c r="G907" s="24" t="n">
        <v>5</v>
      </c>
      <c r="H907" s="24" t="n">
        <v>12</v>
      </c>
      <c r="I907" s="44" t="n">
        <f aca="false">E907*F907*(1-G907/100)*(1+H907/100)</f>
        <v>11.172</v>
      </c>
      <c r="J907" s="24" t="s">
        <v>24</v>
      </c>
      <c r="K907" s="24" t="s">
        <v>88</v>
      </c>
      <c r="L907" s="43" t="s">
        <v>111</v>
      </c>
      <c r="M907" s="44" t="n">
        <f aca="false">F907*(1-G907/100)-2.2</f>
        <v>1.125</v>
      </c>
      <c r="N907" s="44" t="n">
        <f aca="false">M907*E907</f>
        <v>3.375</v>
      </c>
    </row>
    <row r="908" customFormat="false" ht="16.5" hidden="false" customHeight="true" outlineLevel="0" collapsed="false">
      <c r="A908" s="45" t="n">
        <v>45742</v>
      </c>
      <c r="B908" s="28" t="s">
        <v>1006</v>
      </c>
      <c r="C908" s="46" t="s">
        <v>29</v>
      </c>
      <c r="D908" s="46" t="s">
        <v>104</v>
      </c>
      <c r="E908" s="28" t="n">
        <v>2</v>
      </c>
      <c r="F908" s="47" t="n">
        <v>2.5</v>
      </c>
      <c r="G908" s="28" t="n">
        <v>0</v>
      </c>
      <c r="H908" s="28" t="n">
        <v>12</v>
      </c>
      <c r="I908" s="47" t="n">
        <f aca="false">E908*F908*(1-G908/100)*(1+H908/100)</f>
        <v>5.6</v>
      </c>
      <c r="J908" s="28" t="s">
        <v>32</v>
      </c>
      <c r="K908" s="28" t="s">
        <v>101</v>
      </c>
      <c r="L908" s="46" t="s">
        <v>98</v>
      </c>
      <c r="M908" s="47" t="n">
        <f aca="false">F908*(1-G908/100)-1.1</f>
        <v>1.4</v>
      </c>
      <c r="N908" s="47" t="n">
        <f aca="false">M908*E908</f>
        <v>2.8</v>
      </c>
    </row>
    <row r="909" customFormat="false" ht="16.5" hidden="false" customHeight="true" outlineLevel="0" collapsed="false">
      <c r="A909" s="42" t="n">
        <v>45742</v>
      </c>
      <c r="B909" s="24" t="s">
        <v>1007</v>
      </c>
      <c r="C909" s="43" t="s">
        <v>33</v>
      </c>
      <c r="D909" s="43" t="s">
        <v>104</v>
      </c>
      <c r="E909" s="24" t="n">
        <v>4</v>
      </c>
      <c r="F909" s="44" t="n">
        <v>5</v>
      </c>
      <c r="G909" s="24" t="n">
        <v>5</v>
      </c>
      <c r="H909" s="24" t="n">
        <v>12</v>
      </c>
      <c r="I909" s="44" t="n">
        <f aca="false">E909*F909*(1-G909/100)*(1+H909/100)</f>
        <v>21.28</v>
      </c>
      <c r="J909" s="24" t="s">
        <v>26</v>
      </c>
      <c r="K909" s="24" t="s">
        <v>101</v>
      </c>
      <c r="L909" s="43" t="s">
        <v>91</v>
      </c>
      <c r="M909" s="44" t="n">
        <f aca="false">F909*(1-G909/100)-2.5</f>
        <v>2.25</v>
      </c>
      <c r="N909" s="44" t="n">
        <f aca="false">M909*E909</f>
        <v>9</v>
      </c>
    </row>
    <row r="910" customFormat="false" ht="16.5" hidden="false" customHeight="true" outlineLevel="0" collapsed="false">
      <c r="A910" s="45" t="n">
        <v>45742</v>
      </c>
      <c r="B910" s="28" t="s">
        <v>1008</v>
      </c>
      <c r="C910" s="46" t="s">
        <v>93</v>
      </c>
      <c r="D910" s="46" t="s">
        <v>81</v>
      </c>
      <c r="E910" s="28" t="n">
        <v>1</v>
      </c>
      <c r="F910" s="47" t="n">
        <v>3</v>
      </c>
      <c r="G910" s="28" t="n">
        <v>10</v>
      </c>
      <c r="H910" s="28" t="n">
        <v>12</v>
      </c>
      <c r="I910" s="47" t="n">
        <f aca="false">E910*F910*(1-G910/100)*(1+H910/100)</f>
        <v>3.024</v>
      </c>
      <c r="J910" s="28" t="s">
        <v>26</v>
      </c>
      <c r="K910" s="28" t="s">
        <v>85</v>
      </c>
      <c r="L910" s="46" t="s">
        <v>94</v>
      </c>
      <c r="M910" s="47" t="n">
        <f aca="false">F910*(1-G910/100)-1.5</f>
        <v>1.2</v>
      </c>
      <c r="N910" s="47" t="n">
        <f aca="false">M910*E910</f>
        <v>1.2</v>
      </c>
    </row>
    <row r="911" customFormat="false" ht="16.5" hidden="false" customHeight="true" outlineLevel="0" collapsed="false">
      <c r="A911" s="42" t="n">
        <v>45742</v>
      </c>
      <c r="B911" s="24" t="s">
        <v>1009</v>
      </c>
      <c r="C911" s="43" t="s">
        <v>35</v>
      </c>
      <c r="D911" s="43" t="s">
        <v>81</v>
      </c>
      <c r="E911" s="24" t="n">
        <v>3</v>
      </c>
      <c r="F911" s="44" t="n">
        <v>1.5</v>
      </c>
      <c r="G911" s="24" t="n">
        <v>0</v>
      </c>
      <c r="H911" s="24" t="n">
        <v>12</v>
      </c>
      <c r="I911" s="44" t="n">
        <f aca="false">E911*F911*(1-G911/100)*(1+H911/100)</f>
        <v>5.04</v>
      </c>
      <c r="J911" s="24" t="s">
        <v>24</v>
      </c>
      <c r="K911" s="24" t="s">
        <v>88</v>
      </c>
      <c r="L911" s="43" t="s">
        <v>117</v>
      </c>
      <c r="M911" s="44" t="n">
        <f aca="false">F911*(1-G911/100)-0.6</f>
        <v>0.9</v>
      </c>
      <c r="N911" s="44" t="n">
        <f aca="false">M911*E911</f>
        <v>2.7</v>
      </c>
    </row>
    <row r="912" customFormat="false" ht="16.5" hidden="false" customHeight="true" outlineLevel="0" collapsed="false">
      <c r="A912" s="45" t="n">
        <v>45742</v>
      </c>
      <c r="B912" s="28" t="s">
        <v>1010</v>
      </c>
      <c r="C912" s="46" t="s">
        <v>27</v>
      </c>
      <c r="D912" s="46" t="s">
        <v>81</v>
      </c>
      <c r="E912" s="28" t="n">
        <v>3</v>
      </c>
      <c r="F912" s="47" t="n">
        <v>4.5</v>
      </c>
      <c r="G912" s="28" t="n">
        <v>5</v>
      </c>
      <c r="H912" s="28" t="n">
        <v>12</v>
      </c>
      <c r="I912" s="47" t="n">
        <f aca="false">E912*F912*(1-G912/100)*(1+H912/100)</f>
        <v>14.364</v>
      </c>
      <c r="J912" s="28" t="s">
        <v>28</v>
      </c>
      <c r="K912" s="28" t="s">
        <v>82</v>
      </c>
      <c r="L912" s="46" t="s">
        <v>106</v>
      </c>
      <c r="M912" s="47" t="n">
        <f aca="false">F912*(1-G912/100)-2.8</f>
        <v>1.475</v>
      </c>
      <c r="N912" s="47" t="n">
        <f aca="false">M912*E912</f>
        <v>4.425</v>
      </c>
    </row>
    <row r="913" customFormat="false" ht="16.5" hidden="false" customHeight="true" outlineLevel="0" collapsed="false">
      <c r="A913" s="42" t="n">
        <v>45742</v>
      </c>
      <c r="B913" s="24" t="s">
        <v>1011</v>
      </c>
      <c r="C913" s="43" t="s">
        <v>25</v>
      </c>
      <c r="D913" s="43" t="s">
        <v>81</v>
      </c>
      <c r="E913" s="24" t="n">
        <v>2</v>
      </c>
      <c r="F913" s="44" t="n">
        <v>3.5</v>
      </c>
      <c r="G913" s="24" t="n">
        <v>0</v>
      </c>
      <c r="H913" s="24" t="n">
        <v>12</v>
      </c>
      <c r="I913" s="44" t="n">
        <f aca="false">E913*F913*(1-G913/100)*(1+H913/100)</f>
        <v>7.84</v>
      </c>
      <c r="J913" s="24" t="s">
        <v>26</v>
      </c>
      <c r="K913" s="24" t="s">
        <v>85</v>
      </c>
      <c r="L913" s="43" t="s">
        <v>106</v>
      </c>
      <c r="M913" s="44" t="n">
        <f aca="false">F913*(1-G913/100)-2.2</f>
        <v>1.3</v>
      </c>
      <c r="N913" s="44" t="n">
        <f aca="false">M913*E913</f>
        <v>2.6</v>
      </c>
    </row>
    <row r="914" customFormat="false" ht="16.5" hidden="false" customHeight="true" outlineLevel="0" collapsed="false">
      <c r="A914" s="45" t="n">
        <v>45743</v>
      </c>
      <c r="B914" s="28" t="s">
        <v>1012</v>
      </c>
      <c r="C914" s="46" t="s">
        <v>29</v>
      </c>
      <c r="D914" s="46" t="s">
        <v>104</v>
      </c>
      <c r="E914" s="28" t="n">
        <v>3</v>
      </c>
      <c r="F914" s="47" t="n">
        <v>2.5</v>
      </c>
      <c r="G914" s="28" t="n">
        <v>10</v>
      </c>
      <c r="H914" s="28" t="n">
        <v>12</v>
      </c>
      <c r="I914" s="47" t="n">
        <f aca="false">E914*F914*(1-G914/100)*(1+H914/100)</f>
        <v>7.56</v>
      </c>
      <c r="J914" s="28" t="s">
        <v>24</v>
      </c>
      <c r="K914" s="28" t="s">
        <v>85</v>
      </c>
      <c r="L914" s="46" t="s">
        <v>91</v>
      </c>
      <c r="M914" s="47" t="n">
        <f aca="false">F914*(1-G914/100)-1.1</f>
        <v>1.15</v>
      </c>
      <c r="N914" s="47" t="n">
        <f aca="false">M914*E914</f>
        <v>3.45</v>
      </c>
    </row>
    <row r="915" customFormat="false" ht="16.5" hidden="false" customHeight="true" outlineLevel="0" collapsed="false">
      <c r="A915" s="42" t="n">
        <v>45743</v>
      </c>
      <c r="B915" s="24" t="s">
        <v>1013</v>
      </c>
      <c r="C915" s="43" t="s">
        <v>25</v>
      </c>
      <c r="D915" s="43" t="s">
        <v>81</v>
      </c>
      <c r="E915" s="24" t="n">
        <v>1</v>
      </c>
      <c r="F915" s="44" t="n">
        <v>3.5</v>
      </c>
      <c r="G915" s="24" t="n">
        <v>10</v>
      </c>
      <c r="H915" s="24" t="n">
        <v>12</v>
      </c>
      <c r="I915" s="44" t="n">
        <f aca="false">E915*F915*(1-G915/100)*(1+H915/100)</f>
        <v>3.528</v>
      </c>
      <c r="J915" s="24" t="s">
        <v>32</v>
      </c>
      <c r="K915" s="24" t="s">
        <v>88</v>
      </c>
      <c r="L915" s="43" t="s">
        <v>83</v>
      </c>
      <c r="M915" s="44" t="n">
        <f aca="false">F915*(1-G915/100)-2.2</f>
        <v>0.95</v>
      </c>
      <c r="N915" s="44" t="n">
        <f aca="false">M915*E915</f>
        <v>0.95</v>
      </c>
    </row>
    <row r="916" customFormat="false" ht="16.5" hidden="false" customHeight="true" outlineLevel="0" collapsed="false">
      <c r="A916" s="45" t="n">
        <v>45743</v>
      </c>
      <c r="B916" s="28" t="s">
        <v>1014</v>
      </c>
      <c r="C916" s="46" t="s">
        <v>36</v>
      </c>
      <c r="D916" s="46" t="s">
        <v>96</v>
      </c>
      <c r="E916" s="28" t="n">
        <v>1</v>
      </c>
      <c r="F916" s="47" t="n">
        <v>8.5</v>
      </c>
      <c r="G916" s="28" t="n">
        <v>0</v>
      </c>
      <c r="H916" s="28" t="n">
        <v>12</v>
      </c>
      <c r="I916" s="47" t="n">
        <f aca="false">E916*F916*(1-G916/100)*(1+H916/100)</f>
        <v>9.52</v>
      </c>
      <c r="J916" s="28" t="s">
        <v>26</v>
      </c>
      <c r="K916" s="28" t="s">
        <v>85</v>
      </c>
      <c r="L916" s="46" t="s">
        <v>98</v>
      </c>
      <c r="M916" s="47" t="n">
        <f aca="false">F916*(1-G916/100)-4.2</f>
        <v>4.3</v>
      </c>
      <c r="N916" s="47" t="n">
        <f aca="false">M916*E916</f>
        <v>4.3</v>
      </c>
    </row>
    <row r="917" customFormat="false" ht="16.5" hidden="false" customHeight="true" outlineLevel="0" collapsed="false">
      <c r="A917" s="42" t="n">
        <v>45743</v>
      </c>
      <c r="B917" s="24" t="s">
        <v>1015</v>
      </c>
      <c r="C917" s="43" t="s">
        <v>109</v>
      </c>
      <c r="D917" s="43" t="s">
        <v>110</v>
      </c>
      <c r="E917" s="24" t="n">
        <v>3</v>
      </c>
      <c r="F917" s="44" t="n">
        <v>3.5</v>
      </c>
      <c r="G917" s="24" t="n">
        <v>0</v>
      </c>
      <c r="H917" s="24" t="n">
        <v>12</v>
      </c>
      <c r="I917" s="44" t="n">
        <f aca="false">E917*F917*(1-G917/100)*(1+H917/100)</f>
        <v>11.76</v>
      </c>
      <c r="J917" s="24" t="s">
        <v>24</v>
      </c>
      <c r="K917" s="24" t="s">
        <v>97</v>
      </c>
      <c r="L917" s="43" t="s">
        <v>83</v>
      </c>
      <c r="M917" s="44" t="n">
        <f aca="false">F917*(1-G917/100)-1.4</f>
        <v>2.1</v>
      </c>
      <c r="N917" s="44" t="n">
        <f aca="false">M917*E917</f>
        <v>6.3</v>
      </c>
    </row>
    <row r="918" customFormat="false" ht="16.5" hidden="false" customHeight="true" outlineLevel="0" collapsed="false">
      <c r="A918" s="45" t="n">
        <v>45743</v>
      </c>
      <c r="B918" s="28" t="s">
        <v>1016</v>
      </c>
      <c r="C918" s="46" t="s">
        <v>124</v>
      </c>
      <c r="D918" s="46" t="s">
        <v>96</v>
      </c>
      <c r="E918" s="28" t="n">
        <v>1</v>
      </c>
      <c r="F918" s="47" t="n">
        <v>4</v>
      </c>
      <c r="G918" s="28" t="n">
        <v>0</v>
      </c>
      <c r="H918" s="28" t="n">
        <v>12</v>
      </c>
      <c r="I918" s="47" t="n">
        <f aca="false">E918*F918*(1-G918/100)*(1+H918/100)</f>
        <v>4.48</v>
      </c>
      <c r="J918" s="28" t="s">
        <v>32</v>
      </c>
      <c r="K918" s="28" t="s">
        <v>82</v>
      </c>
      <c r="L918" s="46" t="s">
        <v>106</v>
      </c>
      <c r="M918" s="47" t="n">
        <f aca="false">F918*(1-G918/100)-1.8</f>
        <v>2.2</v>
      </c>
      <c r="N918" s="47" t="n">
        <f aca="false">M918*E918</f>
        <v>2.2</v>
      </c>
    </row>
    <row r="919" customFormat="false" ht="16.5" hidden="false" customHeight="true" outlineLevel="0" collapsed="false">
      <c r="A919" s="42" t="n">
        <v>45744</v>
      </c>
      <c r="B919" s="24" t="s">
        <v>1017</v>
      </c>
      <c r="C919" s="43" t="s">
        <v>36</v>
      </c>
      <c r="D919" s="43" t="s">
        <v>96</v>
      </c>
      <c r="E919" s="24" t="n">
        <v>4</v>
      </c>
      <c r="F919" s="44" t="n">
        <v>8.5</v>
      </c>
      <c r="G919" s="24" t="n">
        <v>0</v>
      </c>
      <c r="H919" s="24" t="n">
        <v>12</v>
      </c>
      <c r="I919" s="44" t="n">
        <f aca="false">E919*F919*(1-G919/100)*(1+H919/100)</f>
        <v>38.08</v>
      </c>
      <c r="J919" s="24" t="s">
        <v>24</v>
      </c>
      <c r="K919" s="24" t="s">
        <v>85</v>
      </c>
      <c r="L919" s="43" t="s">
        <v>106</v>
      </c>
      <c r="M919" s="44" t="n">
        <f aca="false">F919*(1-G919/100)-4.2</f>
        <v>4.3</v>
      </c>
      <c r="N919" s="44" t="n">
        <f aca="false">M919*E919</f>
        <v>17.2</v>
      </c>
    </row>
    <row r="920" customFormat="false" ht="16.5" hidden="false" customHeight="true" outlineLevel="0" collapsed="false">
      <c r="A920" s="45" t="n">
        <v>45744</v>
      </c>
      <c r="B920" s="28" t="s">
        <v>1018</v>
      </c>
      <c r="C920" s="46" t="s">
        <v>29</v>
      </c>
      <c r="D920" s="46" t="s">
        <v>104</v>
      </c>
      <c r="E920" s="28" t="n">
        <v>3</v>
      </c>
      <c r="F920" s="47" t="n">
        <v>2.5</v>
      </c>
      <c r="G920" s="28" t="n">
        <v>0</v>
      </c>
      <c r="H920" s="28" t="n">
        <v>12</v>
      </c>
      <c r="I920" s="47" t="n">
        <f aca="false">E920*F920*(1-G920/100)*(1+H920/100)</f>
        <v>8.4</v>
      </c>
      <c r="J920" s="28" t="s">
        <v>32</v>
      </c>
      <c r="K920" s="28" t="s">
        <v>85</v>
      </c>
      <c r="L920" s="46" t="s">
        <v>117</v>
      </c>
      <c r="M920" s="47" t="n">
        <f aca="false">F920*(1-G920/100)-1.1</f>
        <v>1.4</v>
      </c>
      <c r="N920" s="47" t="n">
        <f aca="false">M920*E920</f>
        <v>4.2</v>
      </c>
    </row>
    <row r="921" customFormat="false" ht="16.5" hidden="false" customHeight="true" outlineLevel="0" collapsed="false">
      <c r="A921" s="42" t="n">
        <v>45744</v>
      </c>
      <c r="B921" s="24" t="s">
        <v>1019</v>
      </c>
      <c r="C921" s="43" t="s">
        <v>35</v>
      </c>
      <c r="D921" s="43" t="s">
        <v>81</v>
      </c>
      <c r="E921" s="24" t="n">
        <v>5</v>
      </c>
      <c r="F921" s="44" t="n">
        <v>1.5</v>
      </c>
      <c r="G921" s="24" t="n">
        <v>5</v>
      </c>
      <c r="H921" s="24" t="n">
        <v>12</v>
      </c>
      <c r="I921" s="44" t="n">
        <f aca="false">E921*F921*(1-G921/100)*(1+H921/100)</f>
        <v>7.98</v>
      </c>
      <c r="J921" s="24" t="s">
        <v>26</v>
      </c>
      <c r="K921" s="24" t="s">
        <v>88</v>
      </c>
      <c r="L921" s="43" t="s">
        <v>83</v>
      </c>
      <c r="M921" s="44" t="n">
        <f aca="false">F921*(1-G921/100)-0.6</f>
        <v>0.825</v>
      </c>
      <c r="N921" s="44" t="n">
        <f aca="false">M921*E921</f>
        <v>4.125</v>
      </c>
    </row>
    <row r="922" customFormat="false" ht="16.5" hidden="false" customHeight="true" outlineLevel="0" collapsed="false">
      <c r="A922" s="45" t="n">
        <v>45744</v>
      </c>
      <c r="B922" s="28" t="s">
        <v>1020</v>
      </c>
      <c r="C922" s="46" t="s">
        <v>124</v>
      </c>
      <c r="D922" s="46" t="s">
        <v>96</v>
      </c>
      <c r="E922" s="28" t="n">
        <v>3</v>
      </c>
      <c r="F922" s="47" t="n">
        <v>4</v>
      </c>
      <c r="G922" s="28" t="n">
        <v>0</v>
      </c>
      <c r="H922" s="28" t="n">
        <v>12</v>
      </c>
      <c r="I922" s="47" t="n">
        <f aca="false">E922*F922*(1-G922/100)*(1+H922/100)</f>
        <v>13.44</v>
      </c>
      <c r="J922" s="28" t="s">
        <v>32</v>
      </c>
      <c r="K922" s="28" t="s">
        <v>97</v>
      </c>
      <c r="L922" s="46" t="s">
        <v>89</v>
      </c>
      <c r="M922" s="47" t="n">
        <f aca="false">F922*(1-G922/100)-1.8</f>
        <v>2.2</v>
      </c>
      <c r="N922" s="47" t="n">
        <f aca="false">M922*E922</f>
        <v>6.6</v>
      </c>
    </row>
    <row r="923" customFormat="false" ht="16.5" hidden="false" customHeight="true" outlineLevel="0" collapsed="false">
      <c r="A923" s="42" t="n">
        <v>45744</v>
      </c>
      <c r="B923" s="24" t="s">
        <v>1021</v>
      </c>
      <c r="C923" s="43" t="s">
        <v>124</v>
      </c>
      <c r="D923" s="43" t="s">
        <v>96</v>
      </c>
      <c r="E923" s="24" t="n">
        <v>2</v>
      </c>
      <c r="F923" s="44" t="n">
        <v>4</v>
      </c>
      <c r="G923" s="24" t="n">
        <v>0</v>
      </c>
      <c r="H923" s="24" t="n">
        <v>12</v>
      </c>
      <c r="I923" s="44" t="n">
        <f aca="false">E923*F923*(1-G923/100)*(1+H923/100)</f>
        <v>8.96</v>
      </c>
      <c r="J923" s="24" t="s">
        <v>34</v>
      </c>
      <c r="K923" s="24" t="s">
        <v>82</v>
      </c>
      <c r="L923" s="43" t="s">
        <v>111</v>
      </c>
      <c r="M923" s="44" t="n">
        <f aca="false">F923*(1-G923/100)-1.8</f>
        <v>2.2</v>
      </c>
      <c r="N923" s="44" t="n">
        <f aca="false">M923*E923</f>
        <v>4.4</v>
      </c>
    </row>
    <row r="924" customFormat="false" ht="16.5" hidden="false" customHeight="true" outlineLevel="0" collapsed="false">
      <c r="A924" s="45" t="n">
        <v>45744</v>
      </c>
      <c r="B924" s="28" t="s">
        <v>1022</v>
      </c>
      <c r="C924" s="46" t="s">
        <v>35</v>
      </c>
      <c r="D924" s="46" t="s">
        <v>81</v>
      </c>
      <c r="E924" s="28" t="n">
        <v>3</v>
      </c>
      <c r="F924" s="47" t="n">
        <v>1.5</v>
      </c>
      <c r="G924" s="28" t="n">
        <v>10</v>
      </c>
      <c r="H924" s="28" t="n">
        <v>12</v>
      </c>
      <c r="I924" s="47" t="n">
        <f aca="false">E924*F924*(1-G924/100)*(1+H924/100)</f>
        <v>4.536</v>
      </c>
      <c r="J924" s="28" t="s">
        <v>28</v>
      </c>
      <c r="K924" s="28" t="s">
        <v>85</v>
      </c>
      <c r="L924" s="46" t="s">
        <v>86</v>
      </c>
      <c r="M924" s="47" t="n">
        <f aca="false">F924*(1-G924/100)-0.6</f>
        <v>0.75</v>
      </c>
      <c r="N924" s="47" t="n">
        <f aca="false">M924*E924</f>
        <v>2.25</v>
      </c>
    </row>
    <row r="925" customFormat="false" ht="16.5" hidden="false" customHeight="true" outlineLevel="0" collapsed="false">
      <c r="A925" s="42" t="n">
        <v>45744</v>
      </c>
      <c r="B925" s="24" t="s">
        <v>1023</v>
      </c>
      <c r="C925" s="43" t="s">
        <v>124</v>
      </c>
      <c r="D925" s="43" t="s">
        <v>96</v>
      </c>
      <c r="E925" s="24" t="n">
        <v>4</v>
      </c>
      <c r="F925" s="44" t="n">
        <v>4</v>
      </c>
      <c r="G925" s="24" t="n">
        <v>0</v>
      </c>
      <c r="H925" s="24" t="n">
        <v>12</v>
      </c>
      <c r="I925" s="44" t="n">
        <f aca="false">E925*F925*(1-G925/100)*(1+H925/100)</f>
        <v>17.92</v>
      </c>
      <c r="J925" s="24" t="s">
        <v>24</v>
      </c>
      <c r="K925" s="24" t="s">
        <v>88</v>
      </c>
      <c r="L925" s="43" t="s">
        <v>106</v>
      </c>
      <c r="M925" s="44" t="n">
        <f aca="false">F925*(1-G925/100)-1.8</f>
        <v>2.2</v>
      </c>
      <c r="N925" s="44" t="n">
        <f aca="false">M925*E925</f>
        <v>8.8</v>
      </c>
    </row>
    <row r="926" customFormat="false" ht="16.5" hidden="false" customHeight="true" outlineLevel="0" collapsed="false">
      <c r="A926" s="45" t="n">
        <v>45744</v>
      </c>
      <c r="B926" s="28" t="s">
        <v>1024</v>
      </c>
      <c r="C926" s="46" t="s">
        <v>109</v>
      </c>
      <c r="D926" s="46" t="s">
        <v>110</v>
      </c>
      <c r="E926" s="28" t="n">
        <v>2</v>
      </c>
      <c r="F926" s="47" t="n">
        <v>3.5</v>
      </c>
      <c r="G926" s="28" t="n">
        <v>0</v>
      </c>
      <c r="H926" s="28" t="n">
        <v>12</v>
      </c>
      <c r="I926" s="47" t="n">
        <f aca="false">E926*F926*(1-G926/100)*(1+H926/100)</f>
        <v>7.84</v>
      </c>
      <c r="J926" s="28" t="s">
        <v>24</v>
      </c>
      <c r="K926" s="28" t="s">
        <v>88</v>
      </c>
      <c r="L926" s="46" t="s">
        <v>94</v>
      </c>
      <c r="M926" s="47" t="n">
        <f aca="false">F926*(1-G926/100)-1.4</f>
        <v>2.1</v>
      </c>
      <c r="N926" s="47" t="n">
        <f aca="false">M926*E926</f>
        <v>4.2</v>
      </c>
    </row>
    <row r="927" customFormat="false" ht="16.5" hidden="false" customHeight="true" outlineLevel="0" collapsed="false">
      <c r="A927" s="42" t="n">
        <v>45744</v>
      </c>
      <c r="B927" s="24" t="s">
        <v>1025</v>
      </c>
      <c r="C927" s="43" t="s">
        <v>33</v>
      </c>
      <c r="D927" s="43" t="s">
        <v>104</v>
      </c>
      <c r="E927" s="24" t="n">
        <v>5</v>
      </c>
      <c r="F927" s="44" t="n">
        <v>5</v>
      </c>
      <c r="G927" s="24" t="n">
        <v>5</v>
      </c>
      <c r="H927" s="24" t="n">
        <v>12</v>
      </c>
      <c r="I927" s="44" t="n">
        <f aca="false">E927*F927*(1-G927/100)*(1+H927/100)</f>
        <v>26.6</v>
      </c>
      <c r="J927" s="24" t="s">
        <v>34</v>
      </c>
      <c r="K927" s="24" t="s">
        <v>82</v>
      </c>
      <c r="L927" s="43" t="s">
        <v>89</v>
      </c>
      <c r="M927" s="44" t="n">
        <f aca="false">F927*(1-G927/100)-2.5</f>
        <v>2.25</v>
      </c>
      <c r="N927" s="44" t="n">
        <f aca="false">M927*E927</f>
        <v>11.25</v>
      </c>
    </row>
    <row r="928" customFormat="false" ht="16.5" hidden="false" customHeight="true" outlineLevel="0" collapsed="false">
      <c r="A928" s="45" t="n">
        <v>45744</v>
      </c>
      <c r="B928" s="28" t="s">
        <v>1026</v>
      </c>
      <c r="C928" s="46" t="s">
        <v>35</v>
      </c>
      <c r="D928" s="46" t="s">
        <v>81</v>
      </c>
      <c r="E928" s="28" t="n">
        <v>3</v>
      </c>
      <c r="F928" s="47" t="n">
        <v>1.5</v>
      </c>
      <c r="G928" s="28" t="n">
        <v>5</v>
      </c>
      <c r="H928" s="28" t="n">
        <v>12</v>
      </c>
      <c r="I928" s="47" t="n">
        <f aca="false">E928*F928*(1-G928/100)*(1+H928/100)</f>
        <v>4.788</v>
      </c>
      <c r="J928" s="28" t="s">
        <v>28</v>
      </c>
      <c r="K928" s="28" t="s">
        <v>101</v>
      </c>
      <c r="L928" s="46" t="s">
        <v>98</v>
      </c>
      <c r="M928" s="47" t="n">
        <f aca="false">F928*(1-G928/100)-0.6</f>
        <v>0.825</v>
      </c>
      <c r="N928" s="47" t="n">
        <f aca="false">M928*E928</f>
        <v>2.475</v>
      </c>
    </row>
    <row r="929" customFormat="false" ht="16.5" hidden="false" customHeight="true" outlineLevel="0" collapsed="false">
      <c r="A929" s="42" t="n">
        <v>45744</v>
      </c>
      <c r="B929" s="24" t="s">
        <v>1027</v>
      </c>
      <c r="C929" s="43" t="s">
        <v>124</v>
      </c>
      <c r="D929" s="43" t="s">
        <v>96</v>
      </c>
      <c r="E929" s="24" t="n">
        <v>1</v>
      </c>
      <c r="F929" s="44" t="n">
        <v>4</v>
      </c>
      <c r="G929" s="24" t="n">
        <v>0</v>
      </c>
      <c r="H929" s="24" t="n">
        <v>12</v>
      </c>
      <c r="I929" s="44" t="n">
        <f aca="false">E929*F929*(1-G929/100)*(1+H929/100)</f>
        <v>4.48</v>
      </c>
      <c r="J929" s="24" t="s">
        <v>26</v>
      </c>
      <c r="K929" s="24" t="s">
        <v>82</v>
      </c>
      <c r="L929" s="43" t="s">
        <v>86</v>
      </c>
      <c r="M929" s="44" t="n">
        <f aca="false">F929*(1-G929/100)-1.8</f>
        <v>2.2</v>
      </c>
      <c r="N929" s="44" t="n">
        <f aca="false">M929*E929</f>
        <v>2.2</v>
      </c>
    </row>
    <row r="930" customFormat="false" ht="16.5" hidden="false" customHeight="true" outlineLevel="0" collapsed="false">
      <c r="A930" s="45" t="n">
        <v>45744</v>
      </c>
      <c r="B930" s="28" t="s">
        <v>1028</v>
      </c>
      <c r="C930" s="46" t="s">
        <v>33</v>
      </c>
      <c r="D930" s="46" t="s">
        <v>104</v>
      </c>
      <c r="E930" s="28" t="n">
        <v>1</v>
      </c>
      <c r="F930" s="47" t="n">
        <v>5</v>
      </c>
      <c r="G930" s="28" t="n">
        <v>5</v>
      </c>
      <c r="H930" s="28" t="n">
        <v>12</v>
      </c>
      <c r="I930" s="47" t="n">
        <f aca="false">E930*F930*(1-G930/100)*(1+H930/100)</f>
        <v>5.32</v>
      </c>
      <c r="J930" s="28" t="s">
        <v>26</v>
      </c>
      <c r="K930" s="28" t="s">
        <v>101</v>
      </c>
      <c r="L930" s="46" t="s">
        <v>86</v>
      </c>
      <c r="M930" s="47" t="n">
        <f aca="false">F930*(1-G930/100)-2.5</f>
        <v>2.25</v>
      </c>
      <c r="N930" s="47" t="n">
        <f aca="false">M930*E930</f>
        <v>2.25</v>
      </c>
    </row>
    <row r="931" customFormat="false" ht="16.5" hidden="false" customHeight="true" outlineLevel="0" collapsed="false">
      <c r="A931" s="42" t="n">
        <v>45744</v>
      </c>
      <c r="B931" s="24" t="s">
        <v>1029</v>
      </c>
      <c r="C931" s="43" t="s">
        <v>109</v>
      </c>
      <c r="D931" s="43" t="s">
        <v>110</v>
      </c>
      <c r="E931" s="24" t="n">
        <v>4</v>
      </c>
      <c r="F931" s="44" t="n">
        <v>3.5</v>
      </c>
      <c r="G931" s="24" t="n">
        <v>5</v>
      </c>
      <c r="H931" s="24" t="n">
        <v>12</v>
      </c>
      <c r="I931" s="44" t="n">
        <f aca="false">E931*F931*(1-G931/100)*(1+H931/100)</f>
        <v>14.896</v>
      </c>
      <c r="J931" s="24" t="s">
        <v>34</v>
      </c>
      <c r="K931" s="24" t="s">
        <v>88</v>
      </c>
      <c r="L931" s="43" t="s">
        <v>89</v>
      </c>
      <c r="M931" s="44" t="n">
        <f aca="false">F931*(1-G931/100)-1.4</f>
        <v>1.925</v>
      </c>
      <c r="N931" s="44" t="n">
        <f aca="false">M931*E931</f>
        <v>7.7</v>
      </c>
    </row>
    <row r="932" customFormat="false" ht="16.5" hidden="false" customHeight="true" outlineLevel="0" collapsed="false">
      <c r="A932" s="45" t="n">
        <v>45745</v>
      </c>
      <c r="B932" s="28" t="s">
        <v>1030</v>
      </c>
      <c r="C932" s="46" t="s">
        <v>25</v>
      </c>
      <c r="D932" s="46" t="s">
        <v>81</v>
      </c>
      <c r="E932" s="28" t="n">
        <v>3</v>
      </c>
      <c r="F932" s="47" t="n">
        <v>3.5</v>
      </c>
      <c r="G932" s="28" t="n">
        <v>0</v>
      </c>
      <c r="H932" s="28" t="n">
        <v>12</v>
      </c>
      <c r="I932" s="47" t="n">
        <f aca="false">E932*F932*(1-G932/100)*(1+H932/100)</f>
        <v>11.76</v>
      </c>
      <c r="J932" s="28" t="s">
        <v>34</v>
      </c>
      <c r="K932" s="28" t="s">
        <v>101</v>
      </c>
      <c r="L932" s="46" t="s">
        <v>86</v>
      </c>
      <c r="M932" s="47" t="n">
        <f aca="false">F932*(1-G932/100)-2.2</f>
        <v>1.3</v>
      </c>
      <c r="N932" s="47" t="n">
        <f aca="false">M932*E932</f>
        <v>3.9</v>
      </c>
    </row>
    <row r="933" customFormat="false" ht="16.5" hidden="false" customHeight="true" outlineLevel="0" collapsed="false">
      <c r="A933" s="42" t="n">
        <v>45745</v>
      </c>
      <c r="B933" s="24" t="s">
        <v>1031</v>
      </c>
      <c r="C933" s="43" t="s">
        <v>33</v>
      </c>
      <c r="D933" s="43" t="s">
        <v>104</v>
      </c>
      <c r="E933" s="24" t="n">
        <v>4</v>
      </c>
      <c r="F933" s="44" t="n">
        <v>5</v>
      </c>
      <c r="G933" s="24" t="n">
        <v>0</v>
      </c>
      <c r="H933" s="24" t="n">
        <v>12</v>
      </c>
      <c r="I933" s="44" t="n">
        <f aca="false">E933*F933*(1-G933/100)*(1+H933/100)</f>
        <v>22.4</v>
      </c>
      <c r="J933" s="24" t="s">
        <v>32</v>
      </c>
      <c r="K933" s="24" t="s">
        <v>101</v>
      </c>
      <c r="L933" s="43" t="s">
        <v>106</v>
      </c>
      <c r="M933" s="44" t="n">
        <f aca="false">F933*(1-G933/100)-2.5</f>
        <v>2.5</v>
      </c>
      <c r="N933" s="44" t="n">
        <f aca="false">M933*E933</f>
        <v>10</v>
      </c>
    </row>
    <row r="934" customFormat="false" ht="16.5" hidden="false" customHeight="true" outlineLevel="0" collapsed="false">
      <c r="A934" s="45" t="n">
        <v>45745</v>
      </c>
      <c r="B934" s="28" t="s">
        <v>1032</v>
      </c>
      <c r="C934" s="46" t="s">
        <v>124</v>
      </c>
      <c r="D934" s="46" t="s">
        <v>96</v>
      </c>
      <c r="E934" s="28" t="n">
        <v>4</v>
      </c>
      <c r="F934" s="47" t="n">
        <v>4</v>
      </c>
      <c r="G934" s="28" t="n">
        <v>0</v>
      </c>
      <c r="H934" s="28" t="n">
        <v>12</v>
      </c>
      <c r="I934" s="47" t="n">
        <f aca="false">E934*F934*(1-G934/100)*(1+H934/100)</f>
        <v>17.92</v>
      </c>
      <c r="J934" s="28" t="s">
        <v>24</v>
      </c>
      <c r="K934" s="28" t="s">
        <v>88</v>
      </c>
      <c r="L934" s="46" t="s">
        <v>122</v>
      </c>
      <c r="M934" s="47" t="n">
        <f aca="false">F934*(1-G934/100)-1.8</f>
        <v>2.2</v>
      </c>
      <c r="N934" s="47" t="n">
        <f aca="false">M934*E934</f>
        <v>8.8</v>
      </c>
    </row>
    <row r="935" customFormat="false" ht="16.5" hidden="false" customHeight="true" outlineLevel="0" collapsed="false">
      <c r="A935" s="42" t="n">
        <v>45745</v>
      </c>
      <c r="B935" s="24" t="s">
        <v>1033</v>
      </c>
      <c r="C935" s="43" t="s">
        <v>124</v>
      </c>
      <c r="D935" s="43" t="s">
        <v>96</v>
      </c>
      <c r="E935" s="24" t="n">
        <v>1</v>
      </c>
      <c r="F935" s="44" t="n">
        <v>4</v>
      </c>
      <c r="G935" s="24" t="n">
        <v>0</v>
      </c>
      <c r="H935" s="24" t="n">
        <v>12</v>
      </c>
      <c r="I935" s="44" t="n">
        <f aca="false">E935*F935*(1-G935/100)*(1+H935/100)</f>
        <v>4.48</v>
      </c>
      <c r="J935" s="24" t="s">
        <v>28</v>
      </c>
      <c r="K935" s="24" t="s">
        <v>101</v>
      </c>
      <c r="L935" s="43" t="s">
        <v>91</v>
      </c>
      <c r="M935" s="44" t="n">
        <f aca="false">F935*(1-G935/100)-1.8</f>
        <v>2.2</v>
      </c>
      <c r="N935" s="44" t="n">
        <f aca="false">M935*E935</f>
        <v>2.2</v>
      </c>
    </row>
    <row r="936" customFormat="false" ht="16.5" hidden="false" customHeight="true" outlineLevel="0" collapsed="false">
      <c r="A936" s="45" t="n">
        <v>45745</v>
      </c>
      <c r="B936" s="28" t="s">
        <v>1034</v>
      </c>
      <c r="C936" s="46" t="s">
        <v>124</v>
      </c>
      <c r="D936" s="46" t="s">
        <v>96</v>
      </c>
      <c r="E936" s="28" t="n">
        <v>1</v>
      </c>
      <c r="F936" s="47" t="n">
        <v>4</v>
      </c>
      <c r="G936" s="28" t="n">
        <v>0</v>
      </c>
      <c r="H936" s="28" t="n">
        <v>12</v>
      </c>
      <c r="I936" s="47" t="n">
        <f aca="false">E936*F936*(1-G936/100)*(1+H936/100)</f>
        <v>4.48</v>
      </c>
      <c r="J936" s="28" t="s">
        <v>26</v>
      </c>
      <c r="K936" s="28" t="s">
        <v>88</v>
      </c>
      <c r="L936" s="46" t="s">
        <v>94</v>
      </c>
      <c r="M936" s="47" t="n">
        <f aca="false">F936*(1-G936/100)-1.8</f>
        <v>2.2</v>
      </c>
      <c r="N936" s="47" t="n">
        <f aca="false">M936*E936</f>
        <v>2.2</v>
      </c>
    </row>
    <row r="937" customFormat="false" ht="16.5" hidden="false" customHeight="true" outlineLevel="0" collapsed="false">
      <c r="A937" s="42" t="n">
        <v>45745</v>
      </c>
      <c r="B937" s="24" t="s">
        <v>1035</v>
      </c>
      <c r="C937" s="43" t="s">
        <v>33</v>
      </c>
      <c r="D937" s="43" t="s">
        <v>104</v>
      </c>
      <c r="E937" s="24" t="n">
        <v>2</v>
      </c>
      <c r="F937" s="44" t="n">
        <v>5</v>
      </c>
      <c r="G937" s="24" t="n">
        <v>10</v>
      </c>
      <c r="H937" s="24" t="n">
        <v>12</v>
      </c>
      <c r="I937" s="44" t="n">
        <f aca="false">E937*F937*(1-G937/100)*(1+H937/100)</f>
        <v>10.08</v>
      </c>
      <c r="J937" s="24" t="s">
        <v>26</v>
      </c>
      <c r="K937" s="24" t="s">
        <v>88</v>
      </c>
      <c r="L937" s="43" t="s">
        <v>83</v>
      </c>
      <c r="M937" s="44" t="n">
        <f aca="false">F937*(1-G937/100)-2.5</f>
        <v>2</v>
      </c>
      <c r="N937" s="44" t="n">
        <f aca="false">M937*E937</f>
        <v>4</v>
      </c>
    </row>
    <row r="938" customFormat="false" ht="16.5" hidden="false" customHeight="true" outlineLevel="0" collapsed="false">
      <c r="A938" s="45" t="n">
        <v>45745</v>
      </c>
      <c r="B938" s="28" t="s">
        <v>1036</v>
      </c>
      <c r="C938" s="46" t="s">
        <v>124</v>
      </c>
      <c r="D938" s="46" t="s">
        <v>96</v>
      </c>
      <c r="E938" s="28" t="n">
        <v>5</v>
      </c>
      <c r="F938" s="47" t="n">
        <v>4</v>
      </c>
      <c r="G938" s="28" t="n">
        <v>5</v>
      </c>
      <c r="H938" s="28" t="n">
        <v>12</v>
      </c>
      <c r="I938" s="47" t="n">
        <f aca="false">E938*F938*(1-G938/100)*(1+H938/100)</f>
        <v>21.28</v>
      </c>
      <c r="J938" s="28" t="s">
        <v>24</v>
      </c>
      <c r="K938" s="28" t="s">
        <v>88</v>
      </c>
      <c r="L938" s="46" t="s">
        <v>106</v>
      </c>
      <c r="M938" s="47" t="n">
        <f aca="false">F938*(1-G938/100)-1.8</f>
        <v>2</v>
      </c>
      <c r="N938" s="47" t="n">
        <f aca="false">M938*E938</f>
        <v>10</v>
      </c>
    </row>
    <row r="939" customFormat="false" ht="16.5" hidden="false" customHeight="true" outlineLevel="0" collapsed="false">
      <c r="A939" s="42" t="n">
        <v>45745</v>
      </c>
      <c r="B939" s="24" t="s">
        <v>1037</v>
      </c>
      <c r="C939" s="43" t="s">
        <v>93</v>
      </c>
      <c r="D939" s="43" t="s">
        <v>81</v>
      </c>
      <c r="E939" s="24" t="n">
        <v>4</v>
      </c>
      <c r="F939" s="44" t="n">
        <v>3</v>
      </c>
      <c r="G939" s="24" t="n">
        <v>0</v>
      </c>
      <c r="H939" s="24" t="n">
        <v>12</v>
      </c>
      <c r="I939" s="44" t="n">
        <f aca="false">E939*F939*(1-G939/100)*(1+H939/100)</f>
        <v>13.44</v>
      </c>
      <c r="J939" s="24" t="s">
        <v>26</v>
      </c>
      <c r="K939" s="24" t="s">
        <v>82</v>
      </c>
      <c r="L939" s="43" t="s">
        <v>117</v>
      </c>
      <c r="M939" s="44" t="n">
        <f aca="false">F939*(1-G939/100)-1.5</f>
        <v>1.5</v>
      </c>
      <c r="N939" s="44" t="n">
        <f aca="false">M939*E939</f>
        <v>6</v>
      </c>
    </row>
    <row r="940" customFormat="false" ht="16.5" hidden="false" customHeight="true" outlineLevel="0" collapsed="false">
      <c r="A940" s="45" t="n">
        <v>45745</v>
      </c>
      <c r="B940" s="28" t="s">
        <v>1038</v>
      </c>
      <c r="C940" s="46" t="s">
        <v>113</v>
      </c>
      <c r="D940" s="46" t="s">
        <v>96</v>
      </c>
      <c r="E940" s="28" t="n">
        <v>5</v>
      </c>
      <c r="F940" s="47" t="n">
        <v>6</v>
      </c>
      <c r="G940" s="28" t="n">
        <v>0</v>
      </c>
      <c r="H940" s="28" t="n">
        <v>12</v>
      </c>
      <c r="I940" s="47" t="n">
        <f aca="false">E940*F940*(1-G940/100)*(1+H940/100)</f>
        <v>33.6</v>
      </c>
      <c r="J940" s="28" t="s">
        <v>26</v>
      </c>
      <c r="K940" s="28" t="s">
        <v>88</v>
      </c>
      <c r="L940" s="46" t="s">
        <v>89</v>
      </c>
      <c r="M940" s="47" t="n">
        <f aca="false">F940*(1-G940/100)-2.8</f>
        <v>3.2</v>
      </c>
      <c r="N940" s="47" t="n">
        <f aca="false">M940*E940</f>
        <v>16</v>
      </c>
    </row>
    <row r="941" customFormat="false" ht="16.5" hidden="false" customHeight="true" outlineLevel="0" collapsed="false">
      <c r="A941" s="42" t="n">
        <v>45746</v>
      </c>
      <c r="B941" s="24" t="s">
        <v>1039</v>
      </c>
      <c r="C941" s="43" t="s">
        <v>36</v>
      </c>
      <c r="D941" s="43" t="s">
        <v>96</v>
      </c>
      <c r="E941" s="24" t="n">
        <v>3</v>
      </c>
      <c r="F941" s="44" t="n">
        <v>8.5</v>
      </c>
      <c r="G941" s="24" t="n">
        <v>10</v>
      </c>
      <c r="H941" s="24" t="n">
        <v>12</v>
      </c>
      <c r="I941" s="44" t="n">
        <f aca="false">E941*F941*(1-G941/100)*(1+H941/100)</f>
        <v>25.704</v>
      </c>
      <c r="J941" s="24" t="s">
        <v>28</v>
      </c>
      <c r="K941" s="24" t="s">
        <v>97</v>
      </c>
      <c r="L941" s="43" t="s">
        <v>94</v>
      </c>
      <c r="M941" s="44" t="n">
        <f aca="false">F941*(1-G941/100)-4.2</f>
        <v>3.45</v>
      </c>
      <c r="N941" s="44" t="n">
        <f aca="false">M941*E941</f>
        <v>10.35</v>
      </c>
    </row>
    <row r="942" customFormat="false" ht="16.5" hidden="false" customHeight="true" outlineLevel="0" collapsed="false">
      <c r="A942" s="45" t="n">
        <v>45746</v>
      </c>
      <c r="B942" s="28" t="s">
        <v>1040</v>
      </c>
      <c r="C942" s="46" t="s">
        <v>113</v>
      </c>
      <c r="D942" s="46" t="s">
        <v>96</v>
      </c>
      <c r="E942" s="28" t="n">
        <v>3</v>
      </c>
      <c r="F942" s="47" t="n">
        <v>6</v>
      </c>
      <c r="G942" s="28" t="n">
        <v>10</v>
      </c>
      <c r="H942" s="28" t="n">
        <v>12</v>
      </c>
      <c r="I942" s="47" t="n">
        <f aca="false">E942*F942*(1-G942/100)*(1+H942/100)</f>
        <v>18.144</v>
      </c>
      <c r="J942" s="28" t="s">
        <v>26</v>
      </c>
      <c r="K942" s="28" t="s">
        <v>88</v>
      </c>
      <c r="L942" s="46" t="s">
        <v>117</v>
      </c>
      <c r="M942" s="47" t="n">
        <f aca="false">F942*(1-G942/100)-2.8</f>
        <v>2.6</v>
      </c>
      <c r="N942" s="47" t="n">
        <f aca="false">M942*E942</f>
        <v>7.8</v>
      </c>
    </row>
    <row r="943" customFormat="false" ht="16.5" hidden="false" customHeight="true" outlineLevel="0" collapsed="false">
      <c r="A943" s="42" t="n">
        <v>45746</v>
      </c>
      <c r="B943" s="24" t="s">
        <v>1041</v>
      </c>
      <c r="C943" s="43" t="s">
        <v>33</v>
      </c>
      <c r="D943" s="43" t="s">
        <v>104</v>
      </c>
      <c r="E943" s="24" t="n">
        <v>4</v>
      </c>
      <c r="F943" s="44" t="n">
        <v>5</v>
      </c>
      <c r="G943" s="24" t="n">
        <v>10</v>
      </c>
      <c r="H943" s="24" t="n">
        <v>12</v>
      </c>
      <c r="I943" s="44" t="n">
        <f aca="false">E943*F943*(1-G943/100)*(1+H943/100)</f>
        <v>20.16</v>
      </c>
      <c r="J943" s="24" t="s">
        <v>28</v>
      </c>
      <c r="K943" s="24" t="s">
        <v>97</v>
      </c>
      <c r="L943" s="43" t="s">
        <v>111</v>
      </c>
      <c r="M943" s="44" t="n">
        <f aca="false">F943*(1-G943/100)-2.5</f>
        <v>2</v>
      </c>
      <c r="N943" s="44" t="n">
        <f aca="false">M943*E943</f>
        <v>8</v>
      </c>
    </row>
    <row r="944" customFormat="false" ht="16.5" hidden="false" customHeight="true" outlineLevel="0" collapsed="false">
      <c r="A944" s="45" t="n">
        <v>45746</v>
      </c>
      <c r="B944" s="28" t="s">
        <v>1042</v>
      </c>
      <c r="C944" s="46" t="s">
        <v>93</v>
      </c>
      <c r="D944" s="46" t="s">
        <v>81</v>
      </c>
      <c r="E944" s="28" t="n">
        <v>4</v>
      </c>
      <c r="F944" s="47" t="n">
        <v>3</v>
      </c>
      <c r="G944" s="28" t="n">
        <v>0</v>
      </c>
      <c r="H944" s="28" t="n">
        <v>12</v>
      </c>
      <c r="I944" s="47" t="n">
        <f aca="false">E944*F944*(1-G944/100)*(1+H944/100)</f>
        <v>13.44</v>
      </c>
      <c r="J944" s="28" t="s">
        <v>24</v>
      </c>
      <c r="K944" s="28" t="s">
        <v>97</v>
      </c>
      <c r="L944" s="46" t="s">
        <v>89</v>
      </c>
      <c r="M944" s="47" t="n">
        <f aca="false">F944*(1-G944/100)-1.5</f>
        <v>1.5</v>
      </c>
      <c r="N944" s="47" t="n">
        <f aca="false">M944*E944</f>
        <v>6</v>
      </c>
    </row>
    <row r="945" customFormat="false" ht="16.5" hidden="false" customHeight="true" outlineLevel="0" collapsed="false">
      <c r="A945" s="42" t="n">
        <v>45746</v>
      </c>
      <c r="B945" s="24" t="s">
        <v>1043</v>
      </c>
      <c r="C945" s="43" t="s">
        <v>25</v>
      </c>
      <c r="D945" s="43" t="s">
        <v>81</v>
      </c>
      <c r="E945" s="24" t="n">
        <v>5</v>
      </c>
      <c r="F945" s="44" t="n">
        <v>3.5</v>
      </c>
      <c r="G945" s="24" t="n">
        <v>0</v>
      </c>
      <c r="H945" s="24" t="n">
        <v>12</v>
      </c>
      <c r="I945" s="44" t="n">
        <f aca="false">E945*F945*(1-G945/100)*(1+H945/100)</f>
        <v>19.6</v>
      </c>
      <c r="J945" s="24" t="s">
        <v>28</v>
      </c>
      <c r="K945" s="24" t="s">
        <v>101</v>
      </c>
      <c r="L945" s="43" t="s">
        <v>122</v>
      </c>
      <c r="M945" s="44" t="n">
        <f aca="false">F945*(1-G945/100)-2.2</f>
        <v>1.3</v>
      </c>
      <c r="N945" s="44" t="n">
        <f aca="false">M945*E945</f>
        <v>6.5</v>
      </c>
    </row>
    <row r="946" customFormat="false" ht="16.5" hidden="false" customHeight="true" outlineLevel="0" collapsed="false">
      <c r="A946" s="45" t="n">
        <v>45746</v>
      </c>
      <c r="B946" s="28" t="s">
        <v>1044</v>
      </c>
      <c r="C946" s="46" t="s">
        <v>33</v>
      </c>
      <c r="D946" s="46" t="s">
        <v>104</v>
      </c>
      <c r="E946" s="28" t="n">
        <v>2</v>
      </c>
      <c r="F946" s="47" t="n">
        <v>5</v>
      </c>
      <c r="G946" s="28" t="n">
        <v>0</v>
      </c>
      <c r="H946" s="28" t="n">
        <v>12</v>
      </c>
      <c r="I946" s="47" t="n">
        <f aca="false">E946*F946*(1-G946/100)*(1+H946/100)</f>
        <v>11.2</v>
      </c>
      <c r="J946" s="28" t="s">
        <v>24</v>
      </c>
      <c r="K946" s="28" t="s">
        <v>97</v>
      </c>
      <c r="L946" s="46" t="s">
        <v>117</v>
      </c>
      <c r="M946" s="47" t="n">
        <f aca="false">F946*(1-G946/100)-2.5</f>
        <v>2.5</v>
      </c>
      <c r="N946" s="47" t="n">
        <f aca="false">M946*E946</f>
        <v>5</v>
      </c>
    </row>
    <row r="947" customFormat="false" ht="16.5" hidden="false" customHeight="true" outlineLevel="0" collapsed="false">
      <c r="A947" s="42" t="n">
        <v>45746</v>
      </c>
      <c r="B947" s="24" t="s">
        <v>1045</v>
      </c>
      <c r="C947" s="43" t="s">
        <v>124</v>
      </c>
      <c r="D947" s="43" t="s">
        <v>96</v>
      </c>
      <c r="E947" s="24" t="n">
        <v>5</v>
      </c>
      <c r="F947" s="44" t="n">
        <v>4</v>
      </c>
      <c r="G947" s="24" t="n">
        <v>10</v>
      </c>
      <c r="H947" s="24" t="n">
        <v>12</v>
      </c>
      <c r="I947" s="44" t="n">
        <f aca="false">E947*F947*(1-G947/100)*(1+H947/100)</f>
        <v>20.16</v>
      </c>
      <c r="J947" s="24" t="s">
        <v>34</v>
      </c>
      <c r="K947" s="24" t="s">
        <v>82</v>
      </c>
      <c r="L947" s="43" t="s">
        <v>98</v>
      </c>
      <c r="M947" s="44" t="n">
        <f aca="false">F947*(1-G947/100)-1.8</f>
        <v>1.8</v>
      </c>
      <c r="N947" s="44" t="n">
        <f aca="false">M947*E947</f>
        <v>9</v>
      </c>
    </row>
    <row r="948" customFormat="false" ht="16.5" hidden="false" customHeight="true" outlineLevel="0" collapsed="false">
      <c r="A948" s="45" t="n">
        <v>45746</v>
      </c>
      <c r="B948" s="28" t="s">
        <v>1046</v>
      </c>
      <c r="C948" s="46" t="s">
        <v>25</v>
      </c>
      <c r="D948" s="46" t="s">
        <v>81</v>
      </c>
      <c r="E948" s="28" t="n">
        <v>4</v>
      </c>
      <c r="F948" s="47" t="n">
        <v>3.5</v>
      </c>
      <c r="G948" s="28" t="n">
        <v>0</v>
      </c>
      <c r="H948" s="28" t="n">
        <v>12</v>
      </c>
      <c r="I948" s="47" t="n">
        <f aca="false">E948*F948*(1-G948/100)*(1+H948/100)</f>
        <v>15.68</v>
      </c>
      <c r="J948" s="28" t="s">
        <v>26</v>
      </c>
      <c r="K948" s="28" t="s">
        <v>82</v>
      </c>
      <c r="L948" s="46" t="s">
        <v>122</v>
      </c>
      <c r="M948" s="47" t="n">
        <f aca="false">F948*(1-G948/100)-2.2</f>
        <v>1.3</v>
      </c>
      <c r="N948" s="47" t="n">
        <f aca="false">M948*E948</f>
        <v>5.2</v>
      </c>
    </row>
    <row r="949" customFormat="false" ht="16.5" hidden="false" customHeight="true" outlineLevel="0" collapsed="false">
      <c r="A949" s="42" t="n">
        <v>45746</v>
      </c>
      <c r="B949" s="24" t="s">
        <v>1047</v>
      </c>
      <c r="C949" s="43" t="s">
        <v>36</v>
      </c>
      <c r="D949" s="43" t="s">
        <v>96</v>
      </c>
      <c r="E949" s="24" t="n">
        <v>5</v>
      </c>
      <c r="F949" s="44" t="n">
        <v>8.5</v>
      </c>
      <c r="G949" s="24" t="n">
        <v>0</v>
      </c>
      <c r="H949" s="24" t="n">
        <v>12</v>
      </c>
      <c r="I949" s="44" t="n">
        <f aca="false">E949*F949*(1-G949/100)*(1+H949/100)</f>
        <v>47.6</v>
      </c>
      <c r="J949" s="24" t="s">
        <v>26</v>
      </c>
      <c r="K949" s="24" t="s">
        <v>97</v>
      </c>
      <c r="L949" s="43" t="s">
        <v>122</v>
      </c>
      <c r="M949" s="44" t="n">
        <f aca="false">F949*(1-G949/100)-4.2</f>
        <v>4.3</v>
      </c>
      <c r="N949" s="44" t="n">
        <f aca="false">M949*E949</f>
        <v>21.5</v>
      </c>
    </row>
    <row r="950" customFormat="false" ht="16.5" hidden="false" customHeight="true" outlineLevel="0" collapsed="false">
      <c r="A950" s="45" t="n">
        <v>45746</v>
      </c>
      <c r="B950" s="28" t="s">
        <v>1048</v>
      </c>
      <c r="C950" s="46" t="s">
        <v>27</v>
      </c>
      <c r="D950" s="46" t="s">
        <v>81</v>
      </c>
      <c r="E950" s="28" t="n">
        <v>5</v>
      </c>
      <c r="F950" s="47" t="n">
        <v>4.5</v>
      </c>
      <c r="G950" s="28" t="n">
        <v>5</v>
      </c>
      <c r="H950" s="28" t="n">
        <v>12</v>
      </c>
      <c r="I950" s="47" t="n">
        <f aca="false">E950*F950*(1-G950/100)*(1+H950/100)</f>
        <v>23.94</v>
      </c>
      <c r="J950" s="28" t="s">
        <v>34</v>
      </c>
      <c r="K950" s="28" t="s">
        <v>82</v>
      </c>
      <c r="L950" s="46" t="s">
        <v>98</v>
      </c>
      <c r="M950" s="47" t="n">
        <f aca="false">F950*(1-G950/100)-2.8</f>
        <v>1.475</v>
      </c>
      <c r="N950" s="47" t="n">
        <f aca="false">M950*E950</f>
        <v>7.375</v>
      </c>
    </row>
    <row r="951" customFormat="false" ht="16.5" hidden="false" customHeight="true" outlineLevel="0" collapsed="false">
      <c r="A951" s="42" t="n">
        <v>45746</v>
      </c>
      <c r="B951" s="24" t="s">
        <v>1049</v>
      </c>
      <c r="C951" s="43" t="s">
        <v>36</v>
      </c>
      <c r="D951" s="43" t="s">
        <v>96</v>
      </c>
      <c r="E951" s="24" t="n">
        <v>4</v>
      </c>
      <c r="F951" s="44" t="n">
        <v>8.5</v>
      </c>
      <c r="G951" s="24" t="n">
        <v>0</v>
      </c>
      <c r="H951" s="24" t="n">
        <v>12</v>
      </c>
      <c r="I951" s="44" t="n">
        <f aca="false">E951*F951*(1-G951/100)*(1+H951/100)</f>
        <v>38.08</v>
      </c>
      <c r="J951" s="24" t="s">
        <v>32</v>
      </c>
      <c r="K951" s="24" t="s">
        <v>88</v>
      </c>
      <c r="L951" s="43" t="s">
        <v>98</v>
      </c>
      <c r="M951" s="44" t="n">
        <f aca="false">F951*(1-G951/100)-4.2</f>
        <v>4.3</v>
      </c>
      <c r="N951" s="44" t="n">
        <f aca="false">M951*E951</f>
        <v>17.2</v>
      </c>
    </row>
    <row r="952" customFormat="false" ht="16.5" hidden="false" customHeight="true" outlineLevel="0" collapsed="false">
      <c r="A952" s="45" t="n">
        <v>45746</v>
      </c>
      <c r="B952" s="28" t="s">
        <v>1050</v>
      </c>
      <c r="C952" s="46" t="s">
        <v>109</v>
      </c>
      <c r="D952" s="46" t="s">
        <v>110</v>
      </c>
      <c r="E952" s="28" t="n">
        <v>3</v>
      </c>
      <c r="F952" s="47" t="n">
        <v>3.5</v>
      </c>
      <c r="G952" s="28" t="n">
        <v>0</v>
      </c>
      <c r="H952" s="28" t="n">
        <v>12</v>
      </c>
      <c r="I952" s="47" t="n">
        <f aca="false">E952*F952*(1-G952/100)*(1+H952/100)</f>
        <v>11.76</v>
      </c>
      <c r="J952" s="28" t="s">
        <v>34</v>
      </c>
      <c r="K952" s="28" t="s">
        <v>85</v>
      </c>
      <c r="L952" s="46" t="s">
        <v>98</v>
      </c>
      <c r="M952" s="47" t="n">
        <f aca="false">F952*(1-G952/100)-1.4</f>
        <v>2.1</v>
      </c>
      <c r="N952" s="47" t="n">
        <f aca="false">M952*E952</f>
        <v>6.3</v>
      </c>
    </row>
    <row r="953" customFormat="false" ht="16.5" hidden="false" customHeight="true" outlineLevel="0" collapsed="false">
      <c r="A953" s="42" t="n">
        <v>45747</v>
      </c>
      <c r="B953" s="24" t="s">
        <v>1051</v>
      </c>
      <c r="C953" s="43" t="s">
        <v>36</v>
      </c>
      <c r="D953" s="43" t="s">
        <v>96</v>
      </c>
      <c r="E953" s="24" t="n">
        <v>3</v>
      </c>
      <c r="F953" s="44" t="n">
        <v>8.5</v>
      </c>
      <c r="G953" s="24" t="n">
        <v>5</v>
      </c>
      <c r="H953" s="24" t="n">
        <v>12</v>
      </c>
      <c r="I953" s="44" t="n">
        <f aca="false">E953*F953*(1-G953/100)*(1+H953/100)</f>
        <v>27.132</v>
      </c>
      <c r="J953" s="24" t="s">
        <v>32</v>
      </c>
      <c r="K953" s="24" t="s">
        <v>101</v>
      </c>
      <c r="L953" s="43" t="s">
        <v>91</v>
      </c>
      <c r="M953" s="44" t="n">
        <f aca="false">F953*(1-G953/100)-4.2</f>
        <v>3.875</v>
      </c>
      <c r="N953" s="44" t="n">
        <f aca="false">M953*E953</f>
        <v>11.625</v>
      </c>
    </row>
    <row r="954" customFormat="false" ht="16.5" hidden="false" customHeight="true" outlineLevel="0" collapsed="false">
      <c r="A954" s="45" t="n">
        <v>45747</v>
      </c>
      <c r="B954" s="28" t="s">
        <v>1052</v>
      </c>
      <c r="C954" s="46" t="s">
        <v>109</v>
      </c>
      <c r="D954" s="46" t="s">
        <v>110</v>
      </c>
      <c r="E954" s="28" t="n">
        <v>1</v>
      </c>
      <c r="F954" s="47" t="n">
        <v>3.5</v>
      </c>
      <c r="G954" s="28" t="n">
        <v>5</v>
      </c>
      <c r="H954" s="28" t="n">
        <v>12</v>
      </c>
      <c r="I954" s="47" t="n">
        <f aca="false">E954*F954*(1-G954/100)*(1+H954/100)</f>
        <v>3.724</v>
      </c>
      <c r="J954" s="28" t="s">
        <v>24</v>
      </c>
      <c r="K954" s="28" t="s">
        <v>97</v>
      </c>
      <c r="L954" s="46" t="s">
        <v>117</v>
      </c>
      <c r="M954" s="47" t="n">
        <f aca="false">F954*(1-G954/100)-1.4</f>
        <v>1.925</v>
      </c>
      <c r="N954" s="47" t="n">
        <f aca="false">M954*E954</f>
        <v>1.925</v>
      </c>
    </row>
    <row r="955" customFormat="false" ht="16.5" hidden="false" customHeight="true" outlineLevel="0" collapsed="false">
      <c r="A955" s="42" t="n">
        <v>45747</v>
      </c>
      <c r="B955" s="24" t="s">
        <v>1053</v>
      </c>
      <c r="C955" s="43" t="s">
        <v>25</v>
      </c>
      <c r="D955" s="43" t="s">
        <v>81</v>
      </c>
      <c r="E955" s="24" t="n">
        <v>3</v>
      </c>
      <c r="F955" s="44" t="n">
        <v>3.5</v>
      </c>
      <c r="G955" s="24" t="n">
        <v>10</v>
      </c>
      <c r="H955" s="24" t="n">
        <v>12</v>
      </c>
      <c r="I955" s="44" t="n">
        <f aca="false">E955*F955*(1-G955/100)*(1+H955/100)</f>
        <v>10.584</v>
      </c>
      <c r="J955" s="24" t="s">
        <v>34</v>
      </c>
      <c r="K955" s="24" t="s">
        <v>82</v>
      </c>
      <c r="L955" s="43" t="s">
        <v>106</v>
      </c>
      <c r="M955" s="44" t="n">
        <f aca="false">F955*(1-G955/100)-2.2</f>
        <v>0.95</v>
      </c>
      <c r="N955" s="44" t="n">
        <f aca="false">M955*E955</f>
        <v>2.85</v>
      </c>
    </row>
    <row r="956" customFormat="false" ht="16.5" hidden="false" customHeight="true" outlineLevel="0" collapsed="false">
      <c r="A956" s="45" t="n">
        <v>45747</v>
      </c>
      <c r="B956" s="28" t="s">
        <v>1054</v>
      </c>
      <c r="C956" s="46" t="s">
        <v>124</v>
      </c>
      <c r="D956" s="46" t="s">
        <v>96</v>
      </c>
      <c r="E956" s="28" t="n">
        <v>2</v>
      </c>
      <c r="F956" s="47" t="n">
        <v>4</v>
      </c>
      <c r="G956" s="28" t="n">
        <v>0</v>
      </c>
      <c r="H956" s="28" t="n">
        <v>12</v>
      </c>
      <c r="I956" s="47" t="n">
        <f aca="false">E956*F956*(1-G956/100)*(1+H956/100)</f>
        <v>8.96</v>
      </c>
      <c r="J956" s="28" t="s">
        <v>24</v>
      </c>
      <c r="K956" s="28" t="s">
        <v>85</v>
      </c>
      <c r="L956" s="46" t="s">
        <v>111</v>
      </c>
      <c r="M956" s="47" t="n">
        <f aca="false">F956*(1-G956/100)-1.8</f>
        <v>2.2</v>
      </c>
      <c r="N956" s="47" t="n">
        <f aca="false">M956*E956</f>
        <v>4.4</v>
      </c>
    </row>
    <row r="957" customFormat="false" ht="16.5" hidden="false" customHeight="true" outlineLevel="0" collapsed="false">
      <c r="A957" s="42" t="n">
        <v>45747</v>
      </c>
      <c r="B957" s="24" t="s">
        <v>1055</v>
      </c>
      <c r="C957" s="43" t="s">
        <v>109</v>
      </c>
      <c r="D957" s="43" t="s">
        <v>110</v>
      </c>
      <c r="E957" s="24" t="n">
        <v>5</v>
      </c>
      <c r="F957" s="44" t="n">
        <v>3.5</v>
      </c>
      <c r="G957" s="24" t="n">
        <v>10</v>
      </c>
      <c r="H957" s="24" t="n">
        <v>12</v>
      </c>
      <c r="I957" s="44" t="n">
        <f aca="false">E957*F957*(1-G957/100)*(1+H957/100)</f>
        <v>17.64</v>
      </c>
      <c r="J957" s="24" t="s">
        <v>24</v>
      </c>
      <c r="K957" s="24" t="s">
        <v>82</v>
      </c>
      <c r="L957" s="43" t="s">
        <v>94</v>
      </c>
      <c r="M957" s="44" t="n">
        <f aca="false">F957*(1-G957/100)-1.4</f>
        <v>1.75</v>
      </c>
      <c r="N957" s="44" t="n">
        <f aca="false">M957*E957</f>
        <v>8.75</v>
      </c>
    </row>
    <row r="959" customFormat="false" ht="15" hidden="false" customHeight="true" outlineLevel="0" collapsed="false">
      <c r="A959" s="48" t="s">
        <v>1056</v>
      </c>
      <c r="B959" s="48"/>
      <c r="C959" s="48"/>
      <c r="D959" s="48"/>
      <c r="E959" s="49" t="n">
        <f aca="false">SUM(E5:E957)</f>
        <v>2896</v>
      </c>
      <c r="I959" s="49" t="n">
        <f aca="false">SUM(I5:I957)</f>
        <v>12972.736</v>
      </c>
      <c r="N959" s="49" t="n">
        <f aca="false">SUM(N5:N957)</f>
        <v>5674.5</v>
      </c>
    </row>
  </sheetData>
  <mergeCells count="2">
    <mergeCell ref="A1:N2"/>
    <mergeCell ref="A959:D959"/>
  </mergeCells>
  <conditionalFormatting sqref="I5:I957">
    <cfRule type="cellIs" priority="2" operator="greaterThan" aboveAverage="0" equalAverage="0" bottom="0" percent="0" rank="0" text="" dxfId="1">
      <formula>500</formula>
    </cfRule>
  </conditionalFormatting>
  <dataValidations count="1">
    <dataValidation allowBlank="true" errorStyle="stop" operator="between" showDropDown="false" showErrorMessage="false" showInputMessage="false" sqref="J5:J1057" type="list">
      <formula1>"Cash,GCash,Credit Card,Debit Card,PayMaya"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4"/>
  </cols>
  <sheetData>
    <row r="1" customFormat="false" ht="21.75" hidden="false" customHeight="true" outlineLevel="0" collapsed="false">
      <c r="A1" s="40" t="s">
        <v>1057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4" customFormat="false" ht="30" hidden="false" customHeight="true" outlineLevel="0" collapsed="false">
      <c r="A4" s="41" t="s">
        <v>1058</v>
      </c>
      <c r="B4" s="41" t="s">
        <v>1059</v>
      </c>
      <c r="C4" s="41" t="s">
        <v>69</v>
      </c>
      <c r="D4" s="41" t="s">
        <v>70</v>
      </c>
      <c r="E4" s="41" t="s">
        <v>1060</v>
      </c>
      <c r="F4" s="41" t="s">
        <v>1061</v>
      </c>
      <c r="G4" s="41" t="s">
        <v>1062</v>
      </c>
      <c r="H4" s="41" t="s">
        <v>1063</v>
      </c>
      <c r="I4" s="41" t="s">
        <v>1064</v>
      </c>
      <c r="J4" s="41" t="s">
        <v>1065</v>
      </c>
      <c r="K4" s="41" t="s">
        <v>1066</v>
      </c>
      <c r="L4" s="41" t="s">
        <v>1067</v>
      </c>
    </row>
    <row r="5" customFormat="false" ht="18" hidden="false" customHeight="true" outlineLevel="0" collapsed="false">
      <c r="A5" s="24" t="s">
        <v>1068</v>
      </c>
      <c r="B5" s="24" t="s">
        <v>1069</v>
      </c>
      <c r="C5" s="24" t="s">
        <v>1070</v>
      </c>
      <c r="D5" s="24" t="s">
        <v>81</v>
      </c>
      <c r="E5" s="24" t="s">
        <v>1071</v>
      </c>
      <c r="F5" s="25" t="n">
        <v>350</v>
      </c>
      <c r="G5" s="25" t="n">
        <v>500</v>
      </c>
      <c r="H5" s="24" t="n">
        <v>45</v>
      </c>
      <c r="I5" s="24" t="n">
        <v>10</v>
      </c>
      <c r="J5" s="24" t="str">
        <f aca="false">IF(H5=0,"OUT OF STOCK",IF(H5&lt;=I5,"LOW STOCK","In Stock"))</f>
        <v>In Stock</v>
      </c>
      <c r="K5" s="25" t="n">
        <f aca="false">H5*G5</f>
        <v>22500</v>
      </c>
      <c r="L5" s="42" t="n">
        <v>46174</v>
      </c>
    </row>
    <row r="6" customFormat="false" ht="18" hidden="false" customHeight="true" outlineLevel="0" collapsed="false">
      <c r="A6" s="28" t="s">
        <v>1072</v>
      </c>
      <c r="B6" s="28" t="s">
        <v>1073</v>
      </c>
      <c r="C6" s="28" t="s">
        <v>1074</v>
      </c>
      <c r="D6" s="28" t="s">
        <v>81</v>
      </c>
      <c r="E6" s="28" t="s">
        <v>1071</v>
      </c>
      <c r="F6" s="29" t="n">
        <v>280</v>
      </c>
      <c r="G6" s="29" t="n">
        <v>420</v>
      </c>
      <c r="H6" s="28" t="n">
        <v>30</v>
      </c>
      <c r="I6" s="28" t="n">
        <v>10</v>
      </c>
      <c r="J6" s="28" t="str">
        <f aca="false">IF(H6=0,"OUT OF STOCK",IF(H6&lt;=I6,"LOW STOCK","In Stock"))</f>
        <v>In Stock</v>
      </c>
      <c r="K6" s="29" t="n">
        <f aca="false">H6*G6</f>
        <v>12600</v>
      </c>
      <c r="L6" s="45" t="n">
        <v>46157</v>
      </c>
    </row>
    <row r="7" customFormat="false" ht="18" hidden="false" customHeight="true" outlineLevel="0" collapsed="false">
      <c r="A7" s="24" t="s">
        <v>1075</v>
      </c>
      <c r="B7" s="24" t="s">
        <v>1076</v>
      </c>
      <c r="C7" s="24" t="s">
        <v>30</v>
      </c>
      <c r="D7" s="24" t="s">
        <v>104</v>
      </c>
      <c r="E7" s="24" t="s">
        <v>1077</v>
      </c>
      <c r="F7" s="25" t="n">
        <v>22</v>
      </c>
      <c r="G7" s="25" t="n">
        <v>45</v>
      </c>
      <c r="H7" s="24" t="n">
        <v>8</v>
      </c>
      <c r="I7" s="24" t="n">
        <v>15</v>
      </c>
      <c r="J7" s="24" t="str">
        <f aca="false">IF(H7=0,"OUT OF STOCK",IF(H7&lt;=I7,"LOW STOCK","In Stock"))</f>
        <v>LOW STOCK</v>
      </c>
      <c r="K7" s="25" t="n">
        <f aca="false">H7*G7</f>
        <v>360</v>
      </c>
      <c r="L7" s="42" t="n">
        <v>45767</v>
      </c>
    </row>
    <row r="8" customFormat="false" ht="18" hidden="false" customHeight="true" outlineLevel="0" collapsed="false">
      <c r="A8" s="28" t="s">
        <v>1078</v>
      </c>
      <c r="B8" s="28" t="s">
        <v>1079</v>
      </c>
      <c r="C8" s="28" t="s">
        <v>1080</v>
      </c>
      <c r="D8" s="28" t="s">
        <v>104</v>
      </c>
      <c r="E8" s="28" t="s">
        <v>1077</v>
      </c>
      <c r="F8" s="29" t="n">
        <v>75</v>
      </c>
      <c r="G8" s="29" t="n">
        <v>150</v>
      </c>
      <c r="H8" s="28" t="n">
        <v>20</v>
      </c>
      <c r="I8" s="28" t="n">
        <v>10</v>
      </c>
      <c r="J8" s="28" t="str">
        <f aca="false">IF(H8=0,"OUT OF STOCK",IF(H8&lt;=I8,"LOW STOCK","In Stock"))</f>
        <v>In Stock</v>
      </c>
      <c r="K8" s="29" t="n">
        <f aca="false">H8*G8</f>
        <v>3000</v>
      </c>
      <c r="L8" s="45" t="n">
        <v>45765</v>
      </c>
    </row>
    <row r="9" customFormat="false" ht="18" hidden="false" customHeight="true" outlineLevel="0" collapsed="false">
      <c r="A9" s="24" t="s">
        <v>1081</v>
      </c>
      <c r="B9" s="24" t="s">
        <v>1082</v>
      </c>
      <c r="C9" s="24" t="s">
        <v>1083</v>
      </c>
      <c r="D9" s="24" t="s">
        <v>81</v>
      </c>
      <c r="E9" s="24" t="s">
        <v>1084</v>
      </c>
      <c r="F9" s="25" t="n">
        <v>12</v>
      </c>
      <c r="G9" s="25" t="n">
        <v>28</v>
      </c>
      <c r="H9" s="24" t="n">
        <v>120</v>
      </c>
      <c r="I9" s="24" t="n">
        <v>30</v>
      </c>
      <c r="J9" s="24" t="str">
        <f aca="false">IF(H9=0,"OUT OF STOCK",IF(H9&lt;=I9,"LOW STOCK","In Stock"))</f>
        <v>In Stock</v>
      </c>
      <c r="K9" s="25" t="n">
        <f aca="false">H9*G9</f>
        <v>3360</v>
      </c>
      <c r="L9" s="42" t="n">
        <v>46387</v>
      </c>
    </row>
    <row r="10" customFormat="false" ht="18" hidden="false" customHeight="true" outlineLevel="0" collapsed="false">
      <c r="A10" s="28" t="s">
        <v>1085</v>
      </c>
      <c r="B10" s="28" t="s">
        <v>1086</v>
      </c>
      <c r="C10" s="28" t="s">
        <v>1087</v>
      </c>
      <c r="D10" s="28" t="s">
        <v>96</v>
      </c>
      <c r="E10" s="28" t="s">
        <v>1088</v>
      </c>
      <c r="F10" s="29" t="n">
        <v>65</v>
      </c>
      <c r="G10" s="29" t="n">
        <v>180</v>
      </c>
      <c r="H10" s="28" t="n">
        <v>40</v>
      </c>
      <c r="I10" s="28" t="n">
        <v>20</v>
      </c>
      <c r="J10" s="28" t="str">
        <f aca="false">IF(H10=0,"OUT OF STOCK",IF(H10&lt;=I10,"LOW STOCK","In Stock"))</f>
        <v>In Stock</v>
      </c>
      <c r="K10" s="29" t="n">
        <f aca="false">H10*G10</f>
        <v>7200</v>
      </c>
      <c r="L10" s="45" t="n">
        <v>45769</v>
      </c>
    </row>
    <row r="11" customFormat="false" ht="18" hidden="false" customHeight="true" outlineLevel="0" collapsed="false">
      <c r="A11" s="24" t="s">
        <v>1089</v>
      </c>
      <c r="B11" s="24" t="s">
        <v>1090</v>
      </c>
      <c r="C11" s="24" t="s">
        <v>1091</v>
      </c>
      <c r="D11" s="24" t="s">
        <v>1092</v>
      </c>
      <c r="E11" s="24" t="s">
        <v>1093</v>
      </c>
      <c r="F11" s="25" t="n">
        <v>42</v>
      </c>
      <c r="G11" s="25" t="n">
        <v>80</v>
      </c>
      <c r="H11" s="24" t="n">
        <v>200</v>
      </c>
      <c r="I11" s="24" t="n">
        <v>50</v>
      </c>
      <c r="J11" s="24" t="str">
        <f aca="false">IF(H11=0,"OUT OF STOCK",IF(H11&lt;=I11,"LOW STOCK","In Stock"))</f>
        <v>In Stock</v>
      </c>
      <c r="K11" s="25" t="n">
        <f aca="false">H11*G11</f>
        <v>16000</v>
      </c>
      <c r="L11" s="42" t="n">
        <v>46388</v>
      </c>
    </row>
    <row r="12" customFormat="false" ht="18" hidden="false" customHeight="true" outlineLevel="0" collapsed="false">
      <c r="A12" s="28" t="s">
        <v>1094</v>
      </c>
      <c r="B12" s="28" t="s">
        <v>1095</v>
      </c>
      <c r="C12" s="28" t="s">
        <v>1096</v>
      </c>
      <c r="D12" s="28" t="s">
        <v>81</v>
      </c>
      <c r="E12" s="28" t="s">
        <v>1097</v>
      </c>
      <c r="F12" s="29" t="n">
        <v>40</v>
      </c>
      <c r="G12" s="29" t="n">
        <v>85</v>
      </c>
      <c r="H12" s="28" t="n">
        <v>55</v>
      </c>
      <c r="I12" s="28" t="n">
        <v>15</v>
      </c>
      <c r="J12" s="28" t="str">
        <f aca="false">IF(H12=0,"OUT OF STOCK",IF(H12&lt;=I12,"LOW STOCK","In Stock"))</f>
        <v>In Stock</v>
      </c>
      <c r="K12" s="29" t="n">
        <f aca="false">H12*G12</f>
        <v>4675</v>
      </c>
      <c r="L12" s="45" t="n">
        <v>45838</v>
      </c>
    </row>
    <row r="13" customFormat="false" ht="18" hidden="false" customHeight="true" outlineLevel="0" collapsed="false">
      <c r="A13" s="24" t="s">
        <v>1098</v>
      </c>
      <c r="B13" s="24" t="s">
        <v>1099</v>
      </c>
      <c r="C13" s="24" t="s">
        <v>52</v>
      </c>
      <c r="D13" s="24" t="s">
        <v>104</v>
      </c>
      <c r="E13" s="24" t="s">
        <v>1077</v>
      </c>
      <c r="F13" s="25" t="n">
        <v>45</v>
      </c>
      <c r="G13" s="25" t="n">
        <v>90</v>
      </c>
      <c r="H13" s="24" t="n">
        <v>12</v>
      </c>
      <c r="I13" s="24" t="n">
        <v>20</v>
      </c>
      <c r="J13" s="24" t="str">
        <f aca="false">IF(H13=0,"OUT OF STOCK",IF(H13&lt;=I13,"LOW STOCK","In Stock"))</f>
        <v>LOW STOCK</v>
      </c>
      <c r="K13" s="25" t="n">
        <f aca="false">H13*G13</f>
        <v>1080</v>
      </c>
      <c r="L13" s="42" t="n">
        <v>45772</v>
      </c>
    </row>
    <row r="14" customFormat="false" ht="18" hidden="false" customHeight="true" outlineLevel="0" collapsed="false">
      <c r="A14" s="28" t="s">
        <v>1100</v>
      </c>
      <c r="B14" s="28" t="s">
        <v>1101</v>
      </c>
      <c r="C14" s="28" t="s">
        <v>1102</v>
      </c>
      <c r="D14" s="28" t="s">
        <v>110</v>
      </c>
      <c r="E14" s="28" t="s">
        <v>1103</v>
      </c>
      <c r="F14" s="29" t="n">
        <v>35</v>
      </c>
      <c r="G14" s="29" t="n">
        <v>70</v>
      </c>
      <c r="H14" s="28" t="n">
        <v>25</v>
      </c>
      <c r="I14" s="28" t="n">
        <v>10</v>
      </c>
      <c r="J14" s="28" t="str">
        <f aca="false">IF(H14=0,"OUT OF STOCK",IF(H14&lt;=I14,"LOW STOCK","In Stock"))</f>
        <v>In Stock</v>
      </c>
      <c r="K14" s="29" t="n">
        <f aca="false">H14*G14</f>
        <v>1750</v>
      </c>
      <c r="L14" s="45" t="n">
        <v>45931</v>
      </c>
    </row>
    <row r="15" customFormat="false" ht="18" hidden="false" customHeight="true" outlineLevel="0" collapsed="false">
      <c r="A15" s="24" t="s">
        <v>1104</v>
      </c>
      <c r="B15" s="24" t="s">
        <v>1105</v>
      </c>
      <c r="C15" s="24" t="s">
        <v>1106</v>
      </c>
      <c r="D15" s="24" t="s">
        <v>1107</v>
      </c>
      <c r="E15" s="24" t="s">
        <v>1093</v>
      </c>
      <c r="F15" s="25" t="n">
        <v>30</v>
      </c>
      <c r="G15" s="25" t="n">
        <v>58</v>
      </c>
      <c r="H15" s="24" t="n">
        <v>80</v>
      </c>
      <c r="I15" s="24" t="n">
        <v>30</v>
      </c>
      <c r="J15" s="24" t="str">
        <f aca="false">IF(H15=0,"OUT OF STOCK",IF(H15&lt;=I15,"LOW STOCK","In Stock"))</f>
        <v>In Stock</v>
      </c>
      <c r="K15" s="25" t="n">
        <f aca="false">H15*G15</f>
        <v>4640</v>
      </c>
      <c r="L15" s="42" t="n">
        <v>46539</v>
      </c>
    </row>
    <row r="16" customFormat="false" ht="18" hidden="false" customHeight="true" outlineLevel="0" collapsed="false">
      <c r="A16" s="28" t="s">
        <v>1108</v>
      </c>
      <c r="B16" s="28" t="s">
        <v>1109</v>
      </c>
      <c r="C16" s="28" t="s">
        <v>1110</v>
      </c>
      <c r="D16" s="28" t="s">
        <v>1107</v>
      </c>
      <c r="E16" s="28" t="s">
        <v>1111</v>
      </c>
      <c r="F16" s="29" t="n">
        <v>75</v>
      </c>
      <c r="G16" s="29" t="n">
        <v>140</v>
      </c>
      <c r="H16" s="28" t="n">
        <v>35</v>
      </c>
      <c r="I16" s="28" t="n">
        <v>15</v>
      </c>
      <c r="J16" s="28" t="str">
        <f aca="false">IF(H16=0,"OUT OF STOCK",IF(H16&lt;=I16,"LOW STOCK","In Stock"))</f>
        <v>In Stock</v>
      </c>
      <c r="K16" s="29" t="n">
        <f aca="false">H16*G16</f>
        <v>4900</v>
      </c>
      <c r="L16" s="45" t="n">
        <v>46235</v>
      </c>
    </row>
    <row r="17" customFormat="false" ht="18" hidden="false" customHeight="true" outlineLevel="0" collapsed="false">
      <c r="A17" s="24" t="s">
        <v>1112</v>
      </c>
      <c r="B17" s="24" t="s">
        <v>1113</v>
      </c>
      <c r="C17" s="24" t="s">
        <v>1114</v>
      </c>
      <c r="D17" s="24" t="s">
        <v>1107</v>
      </c>
      <c r="E17" s="24" t="s">
        <v>1115</v>
      </c>
      <c r="F17" s="25" t="n">
        <v>120</v>
      </c>
      <c r="G17" s="25" t="n">
        <v>200</v>
      </c>
      <c r="H17" s="24" t="n">
        <v>7</v>
      </c>
      <c r="I17" s="24" t="n">
        <v>20</v>
      </c>
      <c r="J17" s="24" t="str">
        <f aca="false">IF(H17=0,"OUT OF STOCK",IF(H17&lt;=I17,"LOW STOCK","In Stock"))</f>
        <v>LOW STOCK</v>
      </c>
      <c r="K17" s="25" t="n">
        <f aca="false">H17*G17</f>
        <v>1400</v>
      </c>
      <c r="L17" s="42" t="n">
        <v>46388</v>
      </c>
    </row>
    <row r="18" customFormat="false" ht="18" hidden="false" customHeight="true" outlineLevel="0" collapsed="false">
      <c r="A18" s="28" t="s">
        <v>1116</v>
      </c>
      <c r="B18" s="28" t="s">
        <v>1117</v>
      </c>
      <c r="C18" s="28" t="s">
        <v>1118</v>
      </c>
      <c r="D18" s="28" t="s">
        <v>1107</v>
      </c>
      <c r="E18" s="28" t="s">
        <v>1115</v>
      </c>
      <c r="F18" s="29" t="n">
        <v>25</v>
      </c>
      <c r="G18" s="29" t="n">
        <v>45</v>
      </c>
      <c r="H18" s="28" t="n">
        <v>60</v>
      </c>
      <c r="I18" s="28" t="n">
        <v>25</v>
      </c>
      <c r="J18" s="28" t="str">
        <f aca="false">IF(H18=0,"OUT OF STOCK",IF(H18&lt;=I18,"LOW STOCK","In Stock"))</f>
        <v>In Stock</v>
      </c>
      <c r="K18" s="29" t="n">
        <f aca="false">H18*G18</f>
        <v>2700</v>
      </c>
      <c r="L18" s="45" t="n">
        <v>46388</v>
      </c>
    </row>
    <row r="19" customFormat="false" ht="18" hidden="false" customHeight="true" outlineLevel="0" collapsed="false">
      <c r="A19" s="24" t="s">
        <v>1119</v>
      </c>
      <c r="B19" s="24" t="s">
        <v>1120</v>
      </c>
      <c r="C19" s="24" t="s">
        <v>1121</v>
      </c>
      <c r="D19" s="24" t="s">
        <v>81</v>
      </c>
      <c r="E19" s="24" t="s">
        <v>1122</v>
      </c>
      <c r="F19" s="25" t="n">
        <v>18</v>
      </c>
      <c r="G19" s="25" t="n">
        <v>40</v>
      </c>
      <c r="H19" s="24" t="n">
        <v>90</v>
      </c>
      <c r="I19" s="24" t="n">
        <v>30</v>
      </c>
      <c r="J19" s="24" t="str">
        <f aca="false">IF(H19=0,"OUT OF STOCK",IF(H19&lt;=I19,"LOW STOCK","In Stock"))</f>
        <v>In Stock</v>
      </c>
      <c r="K19" s="25" t="n">
        <f aca="false">H19*G19</f>
        <v>3600</v>
      </c>
      <c r="L19" s="42" t="n">
        <v>46082</v>
      </c>
    </row>
    <row r="21" customFormat="false" ht="15" hidden="false" customHeight="true" outlineLevel="0" collapsed="false">
      <c r="A21" s="48" t="s">
        <v>1123</v>
      </c>
      <c r="B21" s="48"/>
      <c r="C21" s="48"/>
      <c r="D21" s="48"/>
      <c r="E21" s="48"/>
      <c r="F21" s="48"/>
      <c r="G21" s="48"/>
      <c r="H21" s="48"/>
      <c r="I21" s="48"/>
      <c r="J21" s="48"/>
      <c r="K21" s="49" t="n">
        <f aca="false">SUM(K5:K19)</f>
        <v>89765</v>
      </c>
    </row>
  </sheetData>
  <mergeCells count="2">
    <mergeCell ref="A1:L2"/>
    <mergeCell ref="A21:J21"/>
  </mergeCells>
  <conditionalFormatting sqref="A5:L19">
    <cfRule type="expression" priority="2" aboveAverage="0" equalAverage="0" bottom="0" percent="0" rank="0" text="" dxfId="0">
      <formula>$J5="OUT OF STOCK"</formula>
    </cfRule>
    <cfRule type="expression" priority="3" aboveAverage="0" equalAverage="0" bottom="0" percent="0" rank="0" text="" dxfId="2">
      <formula>$J5="LOW STOCK"</formula>
    </cfRule>
  </conditionalFormatting>
  <conditionalFormatting sqref="L5:L19">
    <cfRule type="expression" priority="4" aboveAverage="0" equalAverage="0" bottom="0" percent="0" rank="0" text="" dxfId="2">
      <formula>AND(L5&lt;&gt;"",L5-TODAY()&lt;=30,L5&gt;TODAY())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tru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40" t="s">
        <v>1124</v>
      </c>
      <c r="B1" s="40"/>
      <c r="C1" s="40"/>
      <c r="D1" s="40"/>
      <c r="E1" s="40"/>
      <c r="F1" s="40"/>
      <c r="G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</row>
    <row r="4" customFormat="false" ht="30" hidden="false" customHeight="true" outlineLevel="0" collapsed="false">
      <c r="A4" s="41" t="s">
        <v>67</v>
      </c>
      <c r="B4" s="41" t="s">
        <v>1125</v>
      </c>
      <c r="C4" s="41" t="s">
        <v>1126</v>
      </c>
      <c r="D4" s="41" t="s">
        <v>1127</v>
      </c>
      <c r="E4" s="41" t="s">
        <v>15</v>
      </c>
      <c r="F4" s="41" t="s">
        <v>16</v>
      </c>
      <c r="G4" s="41" t="s">
        <v>1128</v>
      </c>
      <c r="I4" s="50" t="s">
        <v>1129</v>
      </c>
      <c r="J4" s="50"/>
      <c r="K4" s="50"/>
    </row>
    <row r="5" customFormat="false" ht="18" hidden="false" customHeight="true" outlineLevel="0" collapsed="false">
      <c r="A5" s="51" t="n">
        <v>45662</v>
      </c>
      <c r="B5" s="52" t="s">
        <v>1130</v>
      </c>
      <c r="C5" s="53" t="s">
        <v>1131</v>
      </c>
      <c r="D5" s="52" t="s">
        <v>1132</v>
      </c>
      <c r="E5" s="52" t="s">
        <v>24</v>
      </c>
      <c r="F5" s="54" t="n">
        <v>25000</v>
      </c>
      <c r="G5" s="52" t="s">
        <v>1133</v>
      </c>
      <c r="I5" s="41" t="s">
        <v>39</v>
      </c>
      <c r="J5" s="41" t="s">
        <v>70</v>
      </c>
      <c r="K5" s="41" t="s">
        <v>1134</v>
      </c>
    </row>
    <row r="6" customFormat="false" ht="18" hidden="false" customHeight="true" outlineLevel="0" collapsed="false">
      <c r="A6" s="45" t="n">
        <v>45664</v>
      </c>
      <c r="B6" s="28" t="s">
        <v>1135</v>
      </c>
      <c r="C6" s="55" t="s">
        <v>1136</v>
      </c>
      <c r="D6" s="28" t="s">
        <v>1137</v>
      </c>
      <c r="E6" s="28" t="s">
        <v>1138</v>
      </c>
      <c r="F6" s="29" t="n">
        <v>4800</v>
      </c>
      <c r="G6" s="28" t="s">
        <v>1139</v>
      </c>
      <c r="I6" s="24" t="s">
        <v>51</v>
      </c>
      <c r="J6" s="24" t="s">
        <v>1135</v>
      </c>
      <c r="K6" s="25" t="n">
        <f aca="false">SUMPRODUCT((TEXT($A$5:$A$24,"MMMM")=I6)*($B$5:$B$24=J6)*($F$5:$F$24))</f>
        <v>5450</v>
      </c>
    </row>
    <row r="7" customFormat="false" ht="18" hidden="false" customHeight="true" outlineLevel="0" collapsed="false">
      <c r="A7" s="51" t="n">
        <v>45667</v>
      </c>
      <c r="B7" s="52" t="s">
        <v>1140</v>
      </c>
      <c r="C7" s="53" t="s">
        <v>1141</v>
      </c>
      <c r="D7" s="52" t="s">
        <v>1142</v>
      </c>
      <c r="E7" s="52" t="s">
        <v>1143</v>
      </c>
      <c r="F7" s="54" t="n">
        <v>1999</v>
      </c>
      <c r="G7" s="52" t="s">
        <v>1139</v>
      </c>
      <c r="I7" s="28" t="s">
        <v>51</v>
      </c>
      <c r="J7" s="28" t="s">
        <v>1130</v>
      </c>
      <c r="K7" s="29" t="n">
        <f aca="false">SUMPRODUCT((TEXT($A$5:$A$24,"MMMM")=I7)*($B$5:$B$24=J7)*($F$5:$F$24))</f>
        <v>25000</v>
      </c>
    </row>
    <row r="8" customFormat="false" ht="18" hidden="false" customHeight="true" outlineLevel="0" collapsed="false">
      <c r="A8" s="45" t="n">
        <v>45669</v>
      </c>
      <c r="B8" s="28" t="s">
        <v>1107</v>
      </c>
      <c r="C8" s="55" t="s">
        <v>1144</v>
      </c>
      <c r="D8" s="28" t="s">
        <v>1145</v>
      </c>
      <c r="E8" s="28" t="s">
        <v>24</v>
      </c>
      <c r="F8" s="29" t="n">
        <v>850</v>
      </c>
      <c r="G8" s="28" t="s">
        <v>1146</v>
      </c>
      <c r="I8" s="24" t="s">
        <v>51</v>
      </c>
      <c r="J8" s="24" t="s">
        <v>1140</v>
      </c>
      <c r="K8" s="25" t="n">
        <f aca="false">SUMPRODUCT((TEXT($A$5:$A$24,"MMMM")=I8)*($B$5:$B$24=J8)*($F$5:$F$24))</f>
        <v>1999</v>
      </c>
    </row>
    <row r="9" customFormat="false" ht="18" hidden="false" customHeight="true" outlineLevel="0" collapsed="false">
      <c r="A9" s="51" t="n">
        <v>45672</v>
      </c>
      <c r="B9" s="52" t="s">
        <v>1147</v>
      </c>
      <c r="C9" s="53" t="s">
        <v>1148</v>
      </c>
      <c r="D9" s="52" t="s">
        <v>1149</v>
      </c>
      <c r="E9" s="52" t="s">
        <v>28</v>
      </c>
      <c r="F9" s="54" t="n">
        <v>3500</v>
      </c>
      <c r="G9" s="52" t="s">
        <v>1133</v>
      </c>
      <c r="I9" s="28" t="s">
        <v>51</v>
      </c>
      <c r="J9" s="28" t="s">
        <v>1107</v>
      </c>
      <c r="K9" s="29" t="n">
        <f aca="false">SUMPRODUCT((TEXT($A$5:$A$24,"MMMM")=I9)*($B$5:$B$24=J9)*($F$5:$F$24))</f>
        <v>850</v>
      </c>
    </row>
    <row r="10" customFormat="false" ht="18" hidden="false" customHeight="true" outlineLevel="0" collapsed="false">
      <c r="A10" s="45" t="n">
        <v>45675</v>
      </c>
      <c r="B10" s="28" t="s">
        <v>1150</v>
      </c>
      <c r="C10" s="55" t="s">
        <v>1151</v>
      </c>
      <c r="D10" s="28" t="s">
        <v>1152</v>
      </c>
      <c r="E10" s="28" t="s">
        <v>24</v>
      </c>
      <c r="F10" s="29" t="n">
        <v>2800</v>
      </c>
      <c r="G10" s="28" t="s">
        <v>1139</v>
      </c>
      <c r="I10" s="24" t="s">
        <v>51</v>
      </c>
      <c r="J10" s="24" t="s">
        <v>1150</v>
      </c>
      <c r="K10" s="25" t="n">
        <f aca="false">SUMPRODUCT((TEXT($A$5:$A$24,"MMMM")=I10)*($B$5:$B$24=J10)*($F$5:$F$24))</f>
        <v>2800</v>
      </c>
    </row>
    <row r="11" customFormat="false" ht="18" hidden="false" customHeight="true" outlineLevel="0" collapsed="false">
      <c r="A11" s="51" t="n">
        <v>45677</v>
      </c>
      <c r="B11" s="52" t="s">
        <v>1153</v>
      </c>
      <c r="C11" s="53" t="s">
        <v>1154</v>
      </c>
      <c r="D11" s="52" t="s">
        <v>1155</v>
      </c>
      <c r="E11" s="52" t="s">
        <v>24</v>
      </c>
      <c r="F11" s="54" t="n">
        <v>1200</v>
      </c>
      <c r="G11" s="52" t="s">
        <v>1146</v>
      </c>
      <c r="I11" s="28" t="s">
        <v>51</v>
      </c>
      <c r="J11" s="28" t="s">
        <v>1147</v>
      </c>
      <c r="K11" s="29" t="n">
        <f aca="false">SUMPRODUCT((TEXT($A$5:$A$24,"MMMM")=I11)*($B$5:$B$24=J11)*($F$5:$F$24))</f>
        <v>3500</v>
      </c>
    </row>
    <row r="12" customFormat="false" ht="18" hidden="false" customHeight="true" outlineLevel="0" collapsed="false">
      <c r="A12" s="45" t="n">
        <v>45682</v>
      </c>
      <c r="B12" s="28" t="s">
        <v>1135</v>
      </c>
      <c r="C12" s="55" t="s">
        <v>1156</v>
      </c>
      <c r="D12" s="28" t="s">
        <v>1157</v>
      </c>
      <c r="E12" s="28" t="s">
        <v>1138</v>
      </c>
      <c r="F12" s="29" t="n">
        <v>650</v>
      </c>
      <c r="G12" s="28" t="s">
        <v>1139</v>
      </c>
      <c r="I12" s="24" t="s">
        <v>51</v>
      </c>
      <c r="J12" s="24" t="s">
        <v>1153</v>
      </c>
      <c r="K12" s="25" t="n">
        <f aca="false">SUMPRODUCT((TEXT($A$5:$A$24,"MMMM")=I12)*($B$5:$B$24=J12)*($F$5:$F$24))</f>
        <v>1200</v>
      </c>
    </row>
    <row r="13" customFormat="false" ht="18" hidden="false" customHeight="true" outlineLevel="0" collapsed="false">
      <c r="A13" s="51" t="n">
        <v>45693</v>
      </c>
      <c r="B13" s="52" t="s">
        <v>1130</v>
      </c>
      <c r="C13" s="53" t="s">
        <v>1131</v>
      </c>
      <c r="D13" s="52" t="s">
        <v>1132</v>
      </c>
      <c r="E13" s="52" t="s">
        <v>24</v>
      </c>
      <c r="F13" s="54" t="n">
        <v>25000</v>
      </c>
      <c r="G13" s="52" t="s">
        <v>1133</v>
      </c>
      <c r="I13" s="28" t="s">
        <v>51</v>
      </c>
      <c r="J13" s="28" t="s">
        <v>1158</v>
      </c>
      <c r="K13" s="29" t="n">
        <f aca="false">SUMPRODUCT((TEXT($A$5:$A$24,"MMMM")=I13)*($B$5:$B$24=J13)*($F$5:$F$24))</f>
        <v>0</v>
      </c>
    </row>
    <row r="14" customFormat="false" ht="18" hidden="false" customHeight="true" outlineLevel="0" collapsed="false">
      <c r="A14" s="45" t="n">
        <v>45696</v>
      </c>
      <c r="B14" s="28" t="s">
        <v>1135</v>
      </c>
      <c r="C14" s="55" t="s">
        <v>1136</v>
      </c>
      <c r="D14" s="28" t="s">
        <v>1137</v>
      </c>
      <c r="E14" s="28" t="s">
        <v>1138</v>
      </c>
      <c r="F14" s="29" t="n">
        <v>5100</v>
      </c>
      <c r="G14" s="28" t="s">
        <v>1139</v>
      </c>
      <c r="I14" s="24" t="s">
        <v>51</v>
      </c>
      <c r="J14" s="24" t="s">
        <v>1159</v>
      </c>
      <c r="K14" s="25" t="n">
        <f aca="false">SUMPRODUCT((TEXT($A$5:$A$24,"MMMM")=I14)*($B$5:$B$24=J14)*($F$5:$F$24))</f>
        <v>0</v>
      </c>
    </row>
    <row r="15" customFormat="false" ht="18" hidden="false" customHeight="true" outlineLevel="0" collapsed="false">
      <c r="A15" s="51" t="n">
        <v>45698</v>
      </c>
      <c r="B15" s="52" t="s">
        <v>1140</v>
      </c>
      <c r="C15" s="53" t="s">
        <v>1141</v>
      </c>
      <c r="D15" s="52" t="s">
        <v>1142</v>
      </c>
      <c r="E15" s="52" t="s">
        <v>1143</v>
      </c>
      <c r="F15" s="54" t="n">
        <v>1999</v>
      </c>
      <c r="G15" s="52" t="s">
        <v>1139</v>
      </c>
      <c r="I15" s="24" t="s">
        <v>53</v>
      </c>
      <c r="J15" s="24" t="s">
        <v>1135</v>
      </c>
      <c r="K15" s="25" t="n">
        <f aca="false">SUMPRODUCT((TEXT($A$5:$A$24,"MMMM")=I15)*($B$5:$B$24=J15)*($F$5:$F$24))</f>
        <v>5100</v>
      </c>
    </row>
    <row r="16" customFormat="false" ht="18" hidden="false" customHeight="true" outlineLevel="0" collapsed="false">
      <c r="A16" s="45" t="n">
        <v>45702</v>
      </c>
      <c r="B16" s="28" t="s">
        <v>1147</v>
      </c>
      <c r="C16" s="55" t="s">
        <v>1160</v>
      </c>
      <c r="D16" s="28" t="s">
        <v>1161</v>
      </c>
      <c r="E16" s="28" t="s">
        <v>24</v>
      </c>
      <c r="F16" s="29" t="n">
        <v>2000</v>
      </c>
      <c r="G16" s="28" t="s">
        <v>1133</v>
      </c>
      <c r="I16" s="28" t="s">
        <v>53</v>
      </c>
      <c r="J16" s="28" t="s">
        <v>1130</v>
      </c>
      <c r="K16" s="29" t="n">
        <f aca="false">SUMPRODUCT((TEXT($A$5:$A$24,"MMMM")=I16)*($B$5:$B$24=J16)*($F$5:$F$24))</f>
        <v>25000</v>
      </c>
    </row>
    <row r="17" customFormat="false" ht="18" hidden="false" customHeight="true" outlineLevel="0" collapsed="false">
      <c r="A17" s="51" t="n">
        <v>45706</v>
      </c>
      <c r="B17" s="52" t="s">
        <v>1107</v>
      </c>
      <c r="C17" s="53" t="s">
        <v>1162</v>
      </c>
      <c r="D17" s="52" t="s">
        <v>1115</v>
      </c>
      <c r="E17" s="52" t="s">
        <v>24</v>
      </c>
      <c r="F17" s="54" t="n">
        <v>1500</v>
      </c>
      <c r="G17" s="52" t="s">
        <v>1146</v>
      </c>
      <c r="I17" s="24" t="s">
        <v>53</v>
      </c>
      <c r="J17" s="24" t="s">
        <v>1140</v>
      </c>
      <c r="K17" s="25" t="n">
        <f aca="false">SUMPRODUCT((TEXT($A$5:$A$24,"MMMM")=I17)*($B$5:$B$24=J17)*($F$5:$F$24))</f>
        <v>1999</v>
      </c>
    </row>
    <row r="18" customFormat="false" ht="18" hidden="false" customHeight="true" outlineLevel="0" collapsed="false">
      <c r="A18" s="45" t="n">
        <v>45710</v>
      </c>
      <c r="B18" s="28" t="s">
        <v>1159</v>
      </c>
      <c r="C18" s="55" t="s">
        <v>1163</v>
      </c>
      <c r="D18" s="28" t="s">
        <v>1164</v>
      </c>
      <c r="E18" s="28" t="s">
        <v>24</v>
      </c>
      <c r="F18" s="29" t="n">
        <v>450</v>
      </c>
      <c r="G18" s="28" t="s">
        <v>1146</v>
      </c>
      <c r="I18" s="28" t="s">
        <v>53</v>
      </c>
      <c r="J18" s="28" t="s">
        <v>1107</v>
      </c>
      <c r="K18" s="29" t="n">
        <f aca="false">SUMPRODUCT((TEXT($A$5:$A$24,"MMMM")=I18)*($B$5:$B$24=J18)*($F$5:$F$24))</f>
        <v>1500</v>
      </c>
    </row>
    <row r="19" customFormat="false" ht="18" hidden="false" customHeight="true" outlineLevel="0" collapsed="false">
      <c r="A19" s="51" t="n">
        <v>45721</v>
      </c>
      <c r="B19" s="52" t="s">
        <v>1130</v>
      </c>
      <c r="C19" s="53" t="s">
        <v>1131</v>
      </c>
      <c r="D19" s="52" t="s">
        <v>1132</v>
      </c>
      <c r="E19" s="52" t="s">
        <v>24</v>
      </c>
      <c r="F19" s="54" t="n">
        <v>25000</v>
      </c>
      <c r="G19" s="52" t="s">
        <v>1133</v>
      </c>
      <c r="I19" s="24" t="s">
        <v>53</v>
      </c>
      <c r="J19" s="24" t="s">
        <v>1150</v>
      </c>
      <c r="K19" s="25" t="n">
        <f aca="false">SUMPRODUCT((TEXT($A$5:$A$24,"MMMM")=I19)*($B$5:$B$24=J19)*($F$5:$F$24))</f>
        <v>0</v>
      </c>
    </row>
    <row r="20" customFormat="false" ht="18" hidden="false" customHeight="true" outlineLevel="0" collapsed="false">
      <c r="A20" s="45" t="n">
        <v>45723</v>
      </c>
      <c r="B20" s="28" t="s">
        <v>1135</v>
      </c>
      <c r="C20" s="55" t="s">
        <v>1136</v>
      </c>
      <c r="D20" s="28" t="s">
        <v>1137</v>
      </c>
      <c r="E20" s="28" t="s">
        <v>1138</v>
      </c>
      <c r="F20" s="29" t="n">
        <v>4600</v>
      </c>
      <c r="G20" s="28" t="s">
        <v>1139</v>
      </c>
      <c r="I20" s="28" t="s">
        <v>53</v>
      </c>
      <c r="J20" s="28" t="s">
        <v>1147</v>
      </c>
      <c r="K20" s="29" t="n">
        <f aca="false">SUMPRODUCT((TEXT($A$5:$A$24,"MMMM")=I20)*($B$5:$B$24=J20)*($F$5:$F$24))</f>
        <v>2000</v>
      </c>
    </row>
    <row r="21" customFormat="false" ht="18" hidden="false" customHeight="true" outlineLevel="0" collapsed="false">
      <c r="A21" s="51" t="n">
        <v>45726</v>
      </c>
      <c r="B21" s="52" t="s">
        <v>1140</v>
      </c>
      <c r="C21" s="53" t="s">
        <v>1141</v>
      </c>
      <c r="D21" s="52" t="s">
        <v>1142</v>
      </c>
      <c r="E21" s="52" t="s">
        <v>1143</v>
      </c>
      <c r="F21" s="54" t="n">
        <v>1999</v>
      </c>
      <c r="G21" s="52" t="s">
        <v>1139</v>
      </c>
      <c r="I21" s="24" t="s">
        <v>53</v>
      </c>
      <c r="J21" s="24" t="s">
        <v>1153</v>
      </c>
      <c r="K21" s="25" t="n">
        <f aca="false">SUMPRODUCT((TEXT($A$5:$A$24,"MMMM")=I21)*($B$5:$B$24=J21)*($F$5:$F$24))</f>
        <v>0</v>
      </c>
    </row>
    <row r="22" customFormat="false" ht="18" hidden="false" customHeight="true" outlineLevel="0" collapsed="false">
      <c r="A22" s="45" t="n">
        <v>45731</v>
      </c>
      <c r="B22" s="28" t="s">
        <v>1150</v>
      </c>
      <c r="C22" s="55" t="s">
        <v>1165</v>
      </c>
      <c r="D22" s="28" t="s">
        <v>1166</v>
      </c>
      <c r="E22" s="28" t="s">
        <v>24</v>
      </c>
      <c r="F22" s="29" t="n">
        <v>3500</v>
      </c>
      <c r="G22" s="28" t="s">
        <v>1139</v>
      </c>
      <c r="I22" s="28" t="s">
        <v>53</v>
      </c>
      <c r="J22" s="28" t="s">
        <v>1158</v>
      </c>
      <c r="K22" s="29" t="n">
        <f aca="false">SUMPRODUCT((TEXT($A$5:$A$24,"MMMM")=I22)*($B$5:$B$24=J22)*($F$5:$F$24))</f>
        <v>0</v>
      </c>
    </row>
    <row r="23" customFormat="false" ht="18" hidden="false" customHeight="true" outlineLevel="0" collapsed="false">
      <c r="A23" s="51" t="n">
        <v>45736</v>
      </c>
      <c r="B23" s="52" t="s">
        <v>1107</v>
      </c>
      <c r="C23" s="53" t="s">
        <v>1167</v>
      </c>
      <c r="D23" s="52" t="s">
        <v>1168</v>
      </c>
      <c r="E23" s="52" t="s">
        <v>24</v>
      </c>
      <c r="F23" s="54" t="n">
        <v>750</v>
      </c>
      <c r="G23" s="52" t="s">
        <v>1146</v>
      </c>
      <c r="I23" s="24" t="s">
        <v>53</v>
      </c>
      <c r="J23" s="24" t="s">
        <v>1159</v>
      </c>
      <c r="K23" s="25" t="n">
        <f aca="false">SUMPRODUCT((TEXT($A$5:$A$24,"MMMM")=I23)*($B$5:$B$24=J23)*($F$5:$F$24))</f>
        <v>450</v>
      </c>
    </row>
    <row r="24" customFormat="false" ht="18" hidden="false" customHeight="true" outlineLevel="0" collapsed="false">
      <c r="A24" s="45" t="n">
        <v>45741</v>
      </c>
      <c r="B24" s="28" t="s">
        <v>1153</v>
      </c>
      <c r="C24" s="55" t="s">
        <v>1169</v>
      </c>
      <c r="D24" s="28" t="s">
        <v>1170</v>
      </c>
      <c r="E24" s="28" t="s">
        <v>26</v>
      </c>
      <c r="F24" s="29" t="n">
        <v>800</v>
      </c>
      <c r="G24" s="28" t="s">
        <v>1146</v>
      </c>
      <c r="I24" s="24" t="s">
        <v>54</v>
      </c>
      <c r="J24" s="24" t="s">
        <v>1135</v>
      </c>
      <c r="K24" s="25" t="n">
        <f aca="false">SUMPRODUCT((TEXT($A$5:$A$24,"MMMM")=I24)*($B$5:$B$24=J24)*($F$5:$F$24))</f>
        <v>4600</v>
      </c>
    </row>
    <row r="25" customFormat="false" ht="15" hidden="false" customHeight="false" outlineLevel="0" collapsed="false">
      <c r="I25" s="28" t="s">
        <v>54</v>
      </c>
      <c r="J25" s="28" t="s">
        <v>1130</v>
      </c>
      <c r="K25" s="29" t="n">
        <f aca="false">SUMPRODUCT((TEXT($A$5:$A$24,"MMMM")=I25)*($B$5:$B$24=J25)*($F$5:$F$24))</f>
        <v>25000</v>
      </c>
    </row>
    <row r="26" customFormat="false" ht="15" hidden="false" customHeight="true" outlineLevel="0" collapsed="false">
      <c r="A26" s="48" t="s">
        <v>1171</v>
      </c>
      <c r="B26" s="48"/>
      <c r="C26" s="48"/>
      <c r="D26" s="48"/>
      <c r="E26" s="48"/>
      <c r="F26" s="56" t="n">
        <f aca="false">SUM(F5:F24)</f>
        <v>113497</v>
      </c>
      <c r="I26" s="24" t="s">
        <v>54</v>
      </c>
      <c r="J26" s="24" t="s">
        <v>1140</v>
      </c>
      <c r="K26" s="25" t="n">
        <f aca="false">SUMPRODUCT((TEXT($A$5:$A$24,"MMMM")=I26)*($B$5:$B$24=J26)*($F$5:$F$24))</f>
        <v>1999</v>
      </c>
    </row>
    <row r="27" customFormat="false" ht="15" hidden="false" customHeight="false" outlineLevel="0" collapsed="false">
      <c r="I27" s="28" t="s">
        <v>54</v>
      </c>
      <c r="J27" s="28" t="s">
        <v>1107</v>
      </c>
      <c r="K27" s="29" t="n">
        <f aca="false">SUMPRODUCT((TEXT($A$5:$A$24,"MMMM")=I27)*($B$5:$B$24=J27)*($F$5:$F$24))</f>
        <v>750</v>
      </c>
    </row>
    <row r="28" customFormat="false" ht="15" hidden="false" customHeight="false" outlineLevel="0" collapsed="false">
      <c r="I28" s="24" t="s">
        <v>54</v>
      </c>
      <c r="J28" s="24" t="s">
        <v>1150</v>
      </c>
      <c r="K28" s="25" t="n">
        <f aca="false">SUMPRODUCT((TEXT($A$5:$A$24,"MMMM")=I28)*($B$5:$B$24=J28)*($F$5:$F$24))</f>
        <v>3500</v>
      </c>
    </row>
    <row r="29" customFormat="false" ht="15" hidden="false" customHeight="false" outlineLevel="0" collapsed="false">
      <c r="I29" s="28" t="s">
        <v>54</v>
      </c>
      <c r="J29" s="28" t="s">
        <v>1147</v>
      </c>
      <c r="K29" s="29" t="n">
        <f aca="false">SUMPRODUCT((TEXT($A$5:$A$24,"MMMM")=I29)*($B$5:$B$24=J29)*($F$5:$F$24))</f>
        <v>0</v>
      </c>
    </row>
    <row r="30" customFormat="false" ht="23.85" hidden="false" customHeight="false" outlineLevel="0" collapsed="false">
      <c r="I30" s="57" t="s">
        <v>1172</v>
      </c>
      <c r="J30" s="24" t="s">
        <v>1153</v>
      </c>
      <c r="K30" s="25" t="n">
        <f aca="false">SUMPRODUCT((TEXT($A$5:$A$24,"MMMM")=I30)*($B$5:$B$24=J30)*($F$5:$F$24))</f>
        <v>0</v>
      </c>
    </row>
    <row r="31" customFormat="false" ht="15" hidden="false" customHeight="false" outlineLevel="0" collapsed="false">
      <c r="I31" s="28" t="s">
        <v>1135</v>
      </c>
      <c r="J31" s="28" t="n">
        <f aca="false">SUMIF($B$5:$B$24,I31,$F$5:$F$24)</f>
        <v>15150</v>
      </c>
      <c r="K31" s="29" t="n">
        <f aca="false">SUMPRODUCT((TEXT($A$5:$A$24,"MMMM")=I31)*($B$5:$B$24=J31)*($F$5:$F$24))</f>
        <v>0</v>
      </c>
    </row>
    <row r="32" customFormat="false" ht="15" hidden="false" customHeight="false" outlineLevel="0" collapsed="false">
      <c r="I32" s="24" t="s">
        <v>1130</v>
      </c>
      <c r="J32" s="24" t="n">
        <f aca="false">SUMIF($B$5:$B$24,I32,$F$5:$F$24)</f>
        <v>75000</v>
      </c>
      <c r="K32" s="25" t="n">
        <f aca="false">SUMPRODUCT((TEXT($A$5:$A$24,"MMMM")=I32)*($B$5:$B$24=J32)*($F$5:$F$24))</f>
        <v>0</v>
      </c>
    </row>
    <row r="33" customFormat="false" ht="15" hidden="false" customHeight="false" outlineLevel="0" collapsed="false">
      <c r="I33" s="58" t="s">
        <v>1140</v>
      </c>
      <c r="J33" s="58" t="n">
        <f aca="false">SUMIF($B$5:$B$24,I33,$F$5:$F$24)</f>
        <v>5997</v>
      </c>
    </row>
    <row r="34" customFormat="false" ht="15" hidden="false" customHeight="false" outlineLevel="0" collapsed="false">
      <c r="I34" s="58" t="s">
        <v>1107</v>
      </c>
      <c r="J34" s="58" t="n">
        <f aca="false">SUMIF($B$5:$B$24,I34,$F$5:$F$24)</f>
        <v>3100</v>
      </c>
    </row>
    <row r="35" customFormat="false" ht="15" hidden="false" customHeight="false" outlineLevel="0" collapsed="false">
      <c r="I35" s="58" t="s">
        <v>1150</v>
      </c>
      <c r="J35" s="58" t="n">
        <f aca="false">SUMIF($B$5:$B$24,I35,$F$5:$F$24)</f>
        <v>6300</v>
      </c>
    </row>
    <row r="36" customFormat="false" ht="15" hidden="false" customHeight="false" outlineLevel="0" collapsed="false">
      <c r="I36" s="58" t="s">
        <v>1147</v>
      </c>
      <c r="J36" s="58" t="n">
        <f aca="false">SUMIF($B$5:$B$24,I36,$F$5:$F$24)</f>
        <v>5500</v>
      </c>
    </row>
    <row r="37" customFormat="false" ht="15" hidden="false" customHeight="false" outlineLevel="0" collapsed="false">
      <c r="I37" s="58" t="s">
        <v>1153</v>
      </c>
      <c r="J37" s="58" t="n">
        <f aca="false">SUMIF($B$5:$B$24,I37,$F$5:$F$24)</f>
        <v>2000</v>
      </c>
    </row>
    <row r="38" customFormat="false" ht="15" hidden="false" customHeight="false" outlineLevel="0" collapsed="false">
      <c r="I38" s="58" t="s">
        <v>1158</v>
      </c>
      <c r="J38" s="58" t="n">
        <f aca="false">SUMIF($B$5:$B$24,I38,$F$5:$F$24)</f>
        <v>0</v>
      </c>
    </row>
    <row r="39" customFormat="false" ht="15" hidden="false" customHeight="false" outlineLevel="0" collapsed="false">
      <c r="I39" s="58" t="s">
        <v>1159</v>
      </c>
      <c r="J39" s="58" t="n">
        <f aca="false">SUMIF($B$5:$B$24,I39,$F$5:$F$24)</f>
        <v>450</v>
      </c>
    </row>
  </sheetData>
  <mergeCells count="3">
    <mergeCell ref="A1:G2"/>
    <mergeCell ref="I4:K4"/>
    <mergeCell ref="A26:E26"/>
  </mergeCells>
  <dataValidations count="1">
    <dataValidation allowBlank="false" errorStyle="stop" operator="between" showDropDown="false" showErrorMessage="false" showInputMessage="false" sqref="B5:B124" type="list">
      <formula1>"Utilities,Rent,Internet,Supplies,Repairs,Marketing,Transportation,Payroll,Miscellaneous"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tru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12"/>
  </cols>
  <sheetData>
    <row r="1" customFormat="false" ht="21.75" hidden="false" customHeight="true" outlineLevel="0" collapsed="false">
      <c r="A1" s="40" t="s">
        <v>1173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customFormat="false" ht="30" hidden="false" customHeight="true" outlineLevel="0" collapsed="false">
      <c r="A4" s="41" t="s">
        <v>1174</v>
      </c>
      <c r="B4" s="41" t="s">
        <v>1175</v>
      </c>
      <c r="C4" s="41" t="s">
        <v>1176</v>
      </c>
      <c r="D4" s="41" t="s">
        <v>1177</v>
      </c>
      <c r="E4" s="41" t="s">
        <v>1178</v>
      </c>
      <c r="F4" s="41" t="s">
        <v>1179</v>
      </c>
      <c r="G4" s="41" t="s">
        <v>1180</v>
      </c>
      <c r="H4" s="41" t="s">
        <v>1181</v>
      </c>
      <c r="I4" s="41" t="s">
        <v>1182</v>
      </c>
      <c r="J4" s="41" t="s">
        <v>1183</v>
      </c>
      <c r="K4" s="41" t="s">
        <v>1184</v>
      </c>
      <c r="L4" s="41" t="s">
        <v>1185</v>
      </c>
      <c r="M4" s="41" t="s">
        <v>1186</v>
      </c>
      <c r="N4" s="41" t="s">
        <v>1187</v>
      </c>
    </row>
    <row r="5" customFormat="false" ht="18" hidden="false" customHeight="true" outlineLevel="0" collapsed="false">
      <c r="A5" s="59" t="s">
        <v>1188</v>
      </c>
      <c r="B5" s="59" t="s">
        <v>101</v>
      </c>
      <c r="C5" s="59" t="s">
        <v>76</v>
      </c>
      <c r="D5" s="60" t="n">
        <v>650</v>
      </c>
      <c r="E5" s="59" t="n">
        <v>22</v>
      </c>
      <c r="F5" s="59" t="n">
        <v>176</v>
      </c>
      <c r="G5" s="59" t="n">
        <v>4</v>
      </c>
      <c r="H5" s="60" t="n">
        <f aca="false">ROUND((D5/8)*1.25*G5,2)</f>
        <v>406.25</v>
      </c>
      <c r="I5" s="60" t="n">
        <f aca="false">D5*E5+H5</f>
        <v>14706.25</v>
      </c>
      <c r="J5" s="60" t="n">
        <v>500</v>
      </c>
      <c r="K5" s="60" t="n">
        <v>250</v>
      </c>
      <c r="L5" s="60" t="n">
        <v>100</v>
      </c>
      <c r="M5" s="60" t="n">
        <v>0</v>
      </c>
      <c r="N5" s="60" t="n">
        <f aca="false">I5-J5-K5-L5-M5</f>
        <v>13856.25</v>
      </c>
    </row>
    <row r="6" customFormat="false" ht="18" hidden="false" customHeight="true" outlineLevel="0" collapsed="false">
      <c r="A6" s="28" t="s">
        <v>1189</v>
      </c>
      <c r="B6" s="28" t="s">
        <v>82</v>
      </c>
      <c r="C6" s="28" t="s">
        <v>76</v>
      </c>
      <c r="D6" s="29" t="n">
        <v>650</v>
      </c>
      <c r="E6" s="28" t="n">
        <v>24</v>
      </c>
      <c r="F6" s="28" t="n">
        <v>192</v>
      </c>
      <c r="G6" s="28" t="n">
        <v>8</v>
      </c>
      <c r="H6" s="29" t="n">
        <f aca="false">ROUND((D6/8)*1.25*G6,2)</f>
        <v>812.5</v>
      </c>
      <c r="I6" s="29" t="n">
        <f aca="false">D6*E6+H6</f>
        <v>16412.5</v>
      </c>
      <c r="J6" s="29" t="n">
        <v>500</v>
      </c>
      <c r="K6" s="29" t="n">
        <v>250</v>
      </c>
      <c r="L6" s="29" t="n">
        <v>100</v>
      </c>
      <c r="M6" s="29" t="n">
        <v>50</v>
      </c>
      <c r="N6" s="29" t="n">
        <f aca="false">I6-J6-K6-L6-M6</f>
        <v>15512.5</v>
      </c>
    </row>
    <row r="7" customFormat="false" ht="18" hidden="false" customHeight="true" outlineLevel="0" collapsed="false">
      <c r="A7" s="59" t="s">
        <v>1190</v>
      </c>
      <c r="B7" s="59" t="s">
        <v>97</v>
      </c>
      <c r="C7" s="59" t="s">
        <v>1191</v>
      </c>
      <c r="D7" s="60" t="n">
        <v>900</v>
      </c>
      <c r="E7" s="59" t="n">
        <v>23</v>
      </c>
      <c r="F7" s="59" t="n">
        <v>184</v>
      </c>
      <c r="G7" s="59" t="n">
        <v>2</v>
      </c>
      <c r="H7" s="60" t="n">
        <f aca="false">ROUND((D7/8)*1.25*G7,2)</f>
        <v>281.25</v>
      </c>
      <c r="I7" s="60" t="n">
        <f aca="false">D7*E7+H7</f>
        <v>20981.25</v>
      </c>
      <c r="J7" s="60" t="n">
        <v>500</v>
      </c>
      <c r="K7" s="60" t="n">
        <v>250</v>
      </c>
      <c r="L7" s="60" t="n">
        <v>100</v>
      </c>
      <c r="M7" s="60" t="n">
        <v>0</v>
      </c>
      <c r="N7" s="60" t="n">
        <f aca="false">I7-J7-K7-L7-M7</f>
        <v>20131.25</v>
      </c>
    </row>
    <row r="8" customFormat="false" ht="18" hidden="false" customHeight="true" outlineLevel="0" collapsed="false">
      <c r="A8" s="28" t="s">
        <v>1192</v>
      </c>
      <c r="B8" s="28" t="s">
        <v>85</v>
      </c>
      <c r="C8" s="28" t="s">
        <v>76</v>
      </c>
      <c r="D8" s="29" t="n">
        <v>650</v>
      </c>
      <c r="E8" s="28" t="n">
        <v>21</v>
      </c>
      <c r="F8" s="28" t="n">
        <v>168</v>
      </c>
      <c r="G8" s="28" t="n">
        <v>0</v>
      </c>
      <c r="H8" s="29" t="n">
        <f aca="false">ROUND((D8/8)*1.25*G8,2)</f>
        <v>0</v>
      </c>
      <c r="I8" s="29" t="n">
        <f aca="false">D8*E8+H8</f>
        <v>13650</v>
      </c>
      <c r="J8" s="29" t="n">
        <v>500</v>
      </c>
      <c r="K8" s="29" t="n">
        <v>250</v>
      </c>
      <c r="L8" s="29" t="n">
        <v>100</v>
      </c>
      <c r="M8" s="29" t="n">
        <v>200</v>
      </c>
      <c r="N8" s="29" t="n">
        <f aca="false">I8-J8-K8-L8-M8</f>
        <v>12600</v>
      </c>
    </row>
    <row r="9" customFormat="false" ht="18" hidden="false" customHeight="true" outlineLevel="0" collapsed="false">
      <c r="A9" s="59" t="s">
        <v>1193</v>
      </c>
      <c r="B9" s="59" t="s">
        <v>88</v>
      </c>
      <c r="C9" s="59" t="s">
        <v>1194</v>
      </c>
      <c r="D9" s="60" t="n">
        <v>700</v>
      </c>
      <c r="E9" s="59" t="n">
        <v>24</v>
      </c>
      <c r="F9" s="59" t="n">
        <v>192</v>
      </c>
      <c r="G9" s="59" t="n">
        <v>6</v>
      </c>
      <c r="H9" s="60" t="n">
        <f aca="false">ROUND((D9/8)*1.25*G9,2)</f>
        <v>656.25</v>
      </c>
      <c r="I9" s="60" t="n">
        <f aca="false">D9*E9+H9</f>
        <v>17456.25</v>
      </c>
      <c r="J9" s="60" t="n">
        <v>500</v>
      </c>
      <c r="K9" s="60" t="n">
        <v>250</v>
      </c>
      <c r="L9" s="60" t="n">
        <v>100</v>
      </c>
      <c r="M9" s="60" t="n">
        <v>0</v>
      </c>
      <c r="N9" s="60" t="n">
        <f aca="false">I9-J9-K9-L9-M9</f>
        <v>16606.25</v>
      </c>
    </row>
    <row r="10" customFormat="false" ht="18" hidden="false" customHeight="true" outlineLevel="0" collapsed="false">
      <c r="A10" s="28" t="s">
        <v>1195</v>
      </c>
      <c r="B10" s="28" t="s">
        <v>1196</v>
      </c>
      <c r="C10" s="28" t="s">
        <v>1197</v>
      </c>
      <c r="D10" s="29" t="n">
        <v>750</v>
      </c>
      <c r="E10" s="28" t="n">
        <v>22</v>
      </c>
      <c r="F10" s="28" t="n">
        <v>176</v>
      </c>
      <c r="G10" s="28" t="n">
        <v>5</v>
      </c>
      <c r="H10" s="29" t="n">
        <f aca="false">ROUND((D10/8)*1.25*G10,2)</f>
        <v>585.94</v>
      </c>
      <c r="I10" s="29" t="n">
        <f aca="false">D10*E10+H10</f>
        <v>17085.94</v>
      </c>
      <c r="J10" s="29" t="n">
        <v>500</v>
      </c>
      <c r="K10" s="29" t="n">
        <v>250</v>
      </c>
      <c r="L10" s="29" t="n">
        <v>100</v>
      </c>
      <c r="M10" s="29" t="n">
        <v>100</v>
      </c>
      <c r="N10" s="29" t="n">
        <f aca="false">I10-J10-K10-L10-M10</f>
        <v>16135.94</v>
      </c>
    </row>
    <row r="11" customFormat="false" ht="18" hidden="false" customHeight="true" outlineLevel="0" collapsed="false">
      <c r="A11" s="59" t="s">
        <v>1198</v>
      </c>
      <c r="B11" s="59" t="s">
        <v>1199</v>
      </c>
      <c r="C11" s="59" t="s">
        <v>1200</v>
      </c>
      <c r="D11" s="60" t="n">
        <v>600</v>
      </c>
      <c r="E11" s="59" t="n">
        <v>20</v>
      </c>
      <c r="F11" s="59" t="n">
        <v>160</v>
      </c>
      <c r="G11" s="59" t="n">
        <v>0</v>
      </c>
      <c r="H11" s="60" t="n">
        <f aca="false">ROUND((D11/8)*1.25*G11,2)</f>
        <v>0</v>
      </c>
      <c r="I11" s="60" t="n">
        <f aca="false">D11*E11+H11</f>
        <v>12000</v>
      </c>
      <c r="J11" s="60" t="n">
        <v>500</v>
      </c>
      <c r="K11" s="60" t="n">
        <v>250</v>
      </c>
      <c r="L11" s="60" t="n">
        <v>100</v>
      </c>
      <c r="M11" s="60" t="n">
        <v>150</v>
      </c>
      <c r="N11" s="60" t="n">
        <f aca="false">I11-J11-K11-L11-M11</f>
        <v>11000</v>
      </c>
    </row>
    <row r="12" customFormat="false" ht="18" hidden="false" customHeight="true" outlineLevel="0" collapsed="false">
      <c r="A12" s="28" t="s">
        <v>1201</v>
      </c>
      <c r="B12" s="28" t="s">
        <v>1202</v>
      </c>
      <c r="C12" s="28" t="s">
        <v>76</v>
      </c>
      <c r="D12" s="29" t="n">
        <v>650</v>
      </c>
      <c r="E12" s="28" t="n">
        <v>23</v>
      </c>
      <c r="F12" s="28" t="n">
        <v>184</v>
      </c>
      <c r="G12" s="28" t="n">
        <v>3</v>
      </c>
      <c r="H12" s="29" t="n">
        <f aca="false">ROUND((D12/8)*1.25*G12,2)</f>
        <v>304.69</v>
      </c>
      <c r="I12" s="29" t="n">
        <f aca="false">D12*E12+H12</f>
        <v>15254.69</v>
      </c>
      <c r="J12" s="29" t="n">
        <v>500</v>
      </c>
      <c r="K12" s="29" t="n">
        <v>250</v>
      </c>
      <c r="L12" s="29" t="n">
        <v>100</v>
      </c>
      <c r="M12" s="29" t="n">
        <v>50</v>
      </c>
      <c r="N12" s="29" t="n">
        <f aca="false">I12-J12-K12-L12-M12</f>
        <v>14354.69</v>
      </c>
    </row>
    <row r="14" customFormat="false" ht="15" hidden="false" customHeight="true" outlineLevel="0" collapsed="false">
      <c r="A14" s="48" t="s">
        <v>1203</v>
      </c>
      <c r="B14" s="48"/>
      <c r="C14" s="48"/>
      <c r="D14" s="48"/>
      <c r="E14" s="48"/>
      <c r="F14" s="48"/>
      <c r="G14" s="48"/>
      <c r="H14" s="48"/>
      <c r="I14" s="49" t="n">
        <f aca="false">SUM(I5:I12)</f>
        <v>127546.88</v>
      </c>
      <c r="N14" s="49" t="n">
        <f aca="false">SUM(N5:N12)</f>
        <v>120196.88</v>
      </c>
    </row>
  </sheetData>
  <mergeCells count="2">
    <mergeCell ref="A1:N2"/>
    <mergeCell ref="A14:H14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8"/>
  </cols>
  <sheetData>
    <row r="1" customFormat="false" ht="21.75" hidden="false" customHeight="true" outlineLevel="0" collapsed="false">
      <c r="A1" s="40" t="s">
        <v>1204</v>
      </c>
      <c r="B1" s="40"/>
      <c r="C1" s="40"/>
      <c r="D1" s="40"/>
      <c r="E1" s="40"/>
      <c r="F1" s="40"/>
      <c r="G1" s="40"/>
      <c r="H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</row>
    <row r="4" customFormat="false" ht="30" hidden="false" customHeight="true" outlineLevel="0" collapsed="false">
      <c r="A4" s="41" t="s">
        <v>1175</v>
      </c>
      <c r="B4" s="41" t="s">
        <v>1205</v>
      </c>
      <c r="C4" s="41" t="s">
        <v>1206</v>
      </c>
      <c r="D4" s="41" t="s">
        <v>49</v>
      </c>
      <c r="E4" s="41" t="s">
        <v>1207</v>
      </c>
      <c r="F4" s="41" t="s">
        <v>1208</v>
      </c>
      <c r="G4" s="41" t="s">
        <v>1209</v>
      </c>
      <c r="H4" s="41" t="s">
        <v>1210</v>
      </c>
    </row>
    <row r="5" customFormat="false" ht="18" hidden="false" customHeight="true" outlineLevel="0" collapsed="false">
      <c r="A5" s="61" t="s">
        <v>101</v>
      </c>
      <c r="B5" s="62" t="n">
        <f aca="false">SUMIF('📊 Sales Report'!K$5:K$957,A5,'📊 Sales Report'!I$5:I$957)</f>
        <v>2647.876</v>
      </c>
      <c r="C5" s="61" t="n">
        <f aca="false">COUNTIF('📊 Sales Report'!K$5:K$957,A5)</f>
        <v>183</v>
      </c>
      <c r="D5" s="62" t="n">
        <f aca="false">IFERROR(B5/C5,0)</f>
        <v>14.4692677595628</v>
      </c>
      <c r="E5" s="63" t="n">
        <v>91.1</v>
      </c>
      <c r="F5" s="61" t="n">
        <v>4.2</v>
      </c>
      <c r="G5" s="61" t="n">
        <f aca="false">ROUND((B5/MAX($B$5:$B$12)*40)+(C5/MAX($C$5:$C$12)*30)+(F5/5*30),1)</f>
        <v>90.9</v>
      </c>
      <c r="H5" s="61" t="n">
        <f aca="false">RANK(G5,$G$5:$G$12,0)</f>
        <v>5</v>
      </c>
    </row>
    <row r="6" customFormat="false" ht="18" hidden="false" customHeight="true" outlineLevel="0" collapsed="false">
      <c r="A6" s="61" t="s">
        <v>82</v>
      </c>
      <c r="B6" s="62" t="n">
        <f aca="false">SUMIF('📊 Sales Report'!K$5:K$957,A6,'📊 Sales Report'!I$5:I$957)</f>
        <v>2721.768</v>
      </c>
      <c r="C6" s="61" t="n">
        <f aca="false">COUNTIF('📊 Sales Report'!K$5:K$957,A6)</f>
        <v>205</v>
      </c>
      <c r="D6" s="62" t="n">
        <f aca="false">IFERROR(B6/C6,0)</f>
        <v>13.2769170731707</v>
      </c>
      <c r="E6" s="63" t="n">
        <v>87.7</v>
      </c>
      <c r="F6" s="61" t="n">
        <v>4.2</v>
      </c>
      <c r="G6" s="61" t="n">
        <f aca="false">ROUND((B6/MAX($B$5:$B$13)*40)+(C6/MAX($C$5:$C$13)*30)+(F6/5*30),1)</f>
        <v>95.2</v>
      </c>
      <c r="H6" s="61" t="n">
        <f aca="false">RANK(G6,$G$5:$G$12,0)</f>
        <v>1</v>
      </c>
    </row>
    <row r="7" customFormat="false" ht="18" hidden="false" customHeight="true" outlineLevel="0" collapsed="false">
      <c r="A7" s="61" t="s">
        <v>97</v>
      </c>
      <c r="B7" s="62" t="n">
        <f aca="false">SUMIF('📊 Sales Report'!K$5:K$957,A7,'📊 Sales Report'!I$5:I$957)</f>
        <v>2649.668</v>
      </c>
      <c r="C7" s="61" t="n">
        <f aca="false">COUNTIF('📊 Sales Report'!K$5:K$957,A7)</f>
        <v>191</v>
      </c>
      <c r="D7" s="62" t="n">
        <f aca="false">IFERROR(B7/C7,0)</f>
        <v>13.8726073298429</v>
      </c>
      <c r="E7" s="63" t="n">
        <v>96.4</v>
      </c>
      <c r="F7" s="61" t="n">
        <v>4.3</v>
      </c>
      <c r="G7" s="61" t="n">
        <f aca="false">ROUND((B7/MAX($B$5:$B$14)*40)+(C7/MAX($C$5:$C$14)*30)+(F7/5*30),1)</f>
        <v>92.7</v>
      </c>
      <c r="H7" s="61" t="n">
        <f aca="false">RANK(G7,$G$5:$G$12,0)</f>
        <v>3</v>
      </c>
    </row>
    <row r="8" customFormat="false" ht="18" hidden="false" customHeight="true" outlineLevel="0" collapsed="false">
      <c r="A8" s="28" t="s">
        <v>85</v>
      </c>
      <c r="B8" s="29" t="n">
        <f aca="false">SUMIF('📊 Sales Report'!K$5:K$957,A8,'📊 Sales Report'!I$5:I$957)</f>
        <v>2451.792</v>
      </c>
      <c r="C8" s="28" t="n">
        <f aca="false">COUNTIF('📊 Sales Report'!K$5:K$957,A8)</f>
        <v>186</v>
      </c>
      <c r="D8" s="29" t="n">
        <f aca="false">IFERROR(B8/C8,0)</f>
        <v>13.1816774193548</v>
      </c>
      <c r="E8" s="64" t="n">
        <v>90.7</v>
      </c>
      <c r="F8" s="28" t="n">
        <v>4.7</v>
      </c>
      <c r="G8" s="28" t="n">
        <f aca="false">ROUND((B8/MAX($B$5:$B$15)*40)+(C8/MAX($C$5:$C$15)*30)+(F8/5*30),1)</f>
        <v>91.5</v>
      </c>
      <c r="H8" s="28" t="n">
        <f aca="false">RANK(G8,$G$5:$G$12,0)</f>
        <v>4</v>
      </c>
    </row>
    <row r="9" customFormat="false" ht="18" hidden="false" customHeight="true" outlineLevel="0" collapsed="false">
      <c r="A9" s="24" t="s">
        <v>88</v>
      </c>
      <c r="B9" s="25" t="n">
        <f aca="false">SUMIF('📊 Sales Report'!K$5:K$957,A9,'📊 Sales Report'!I$5:I$957)</f>
        <v>2501.632</v>
      </c>
      <c r="C9" s="24" t="n">
        <f aca="false">COUNTIF('📊 Sales Report'!K$5:K$957,A9)</f>
        <v>188</v>
      </c>
      <c r="D9" s="25" t="n">
        <f aca="false">IFERROR(B9/C9,0)</f>
        <v>13.3065531914894</v>
      </c>
      <c r="E9" s="65" t="n">
        <v>93.1</v>
      </c>
      <c r="F9" s="24" t="n">
        <v>4.9</v>
      </c>
      <c r="G9" s="24" t="n">
        <f aca="false">ROUND((B9/MAX($B$5:$B$16)*40)+(C9/MAX($C$5:$C$16)*30)+(F9/5*30),1)</f>
        <v>93.7</v>
      </c>
      <c r="H9" s="24" t="n">
        <f aca="false">RANK(G9,$G$5:$G$12,0)</f>
        <v>2</v>
      </c>
    </row>
    <row r="10" customFormat="false" ht="18" hidden="false" customHeight="true" outlineLevel="0" collapsed="false">
      <c r="A10" s="28" t="s">
        <v>1196</v>
      </c>
      <c r="B10" s="29" t="n">
        <f aca="false">SUMIF('📊 Sales Report'!K$5:K$957,A10,'📊 Sales Report'!I$5:I$957)</f>
        <v>0</v>
      </c>
      <c r="C10" s="28" t="n">
        <f aca="false">COUNTIF('📊 Sales Report'!K$5:K$957,A10)</f>
        <v>0</v>
      </c>
      <c r="D10" s="29" t="n">
        <f aca="false">IFERROR(B10/C10,0)</f>
        <v>0</v>
      </c>
      <c r="E10" s="64" t="n">
        <v>92.3</v>
      </c>
      <c r="F10" s="28" t="n">
        <v>4.4</v>
      </c>
      <c r="G10" s="28" t="n">
        <f aca="false">ROUND((B10/MAX($B$5:$B$17)*40)+(C10/MAX($C$5:$C$17)*30)+(F10/5*30),1)</f>
        <v>26.4</v>
      </c>
      <c r="H10" s="28" t="n">
        <f aca="false">RANK(G10,$G$5:$G$12,0)</f>
        <v>6</v>
      </c>
    </row>
    <row r="11" customFormat="false" ht="18" hidden="false" customHeight="true" outlineLevel="0" collapsed="false">
      <c r="A11" s="24" t="s">
        <v>1199</v>
      </c>
      <c r="B11" s="25" t="n">
        <f aca="false">SUMIF('📊 Sales Report'!K$5:K$957,A11,'📊 Sales Report'!I$5:I$957)</f>
        <v>0</v>
      </c>
      <c r="C11" s="24" t="n">
        <f aca="false">COUNTIF('📊 Sales Report'!K$5:K$957,A11)</f>
        <v>0</v>
      </c>
      <c r="D11" s="25" t="n">
        <f aca="false">IFERROR(B11/C11,0)</f>
        <v>0</v>
      </c>
      <c r="E11" s="65" t="n">
        <v>94.2</v>
      </c>
      <c r="F11" s="24" t="n">
        <v>4.2</v>
      </c>
      <c r="G11" s="24" t="n">
        <f aca="false">ROUND((B11/MAX($B$5:$B$18)*40)+(C11/MAX($C$5:$C$18)*30)+(F11/5*30),1)</f>
        <v>25.2</v>
      </c>
      <c r="H11" s="24" t="n">
        <f aca="false">RANK(G11,$G$5:$G$12,0)</f>
        <v>8</v>
      </c>
    </row>
    <row r="12" customFormat="false" ht="18" hidden="false" customHeight="true" outlineLevel="0" collapsed="false">
      <c r="A12" s="28" t="s">
        <v>1202</v>
      </c>
      <c r="B12" s="29" t="n">
        <f aca="false">SUMIF('📊 Sales Report'!K$5:K$957,A12,'📊 Sales Report'!I$5:I$957)</f>
        <v>0</v>
      </c>
      <c r="C12" s="28" t="n">
        <f aca="false">COUNTIF('📊 Sales Report'!K$5:K$957,A12)</f>
        <v>0</v>
      </c>
      <c r="D12" s="29" t="n">
        <f aca="false">IFERROR(B12/C12,0)</f>
        <v>0</v>
      </c>
      <c r="E12" s="64" t="n">
        <v>98.5</v>
      </c>
      <c r="F12" s="28" t="n">
        <v>4.4</v>
      </c>
      <c r="G12" s="28" t="n">
        <f aca="false">ROUND((B12/MAX($B$5:$B$19)*40)+(C12/MAX($C$5:$C$19)*30)+(F12/5*30),1)</f>
        <v>26.4</v>
      </c>
      <c r="H12" s="28" t="n">
        <f aca="false">RANK(G12,$G$5:$G$12,0)</f>
        <v>6</v>
      </c>
    </row>
  </sheetData>
  <mergeCells count="1">
    <mergeCell ref="A1:H2"/>
  </mergeCells>
  <conditionalFormatting sqref="A5:H12">
    <cfRule type="expression" priority="2" aboveAverage="0" equalAverage="0" bottom="0" percent="0" rank="0" text="" dxfId="3">
      <formula>$H5=1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0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40" t="s">
        <v>1211</v>
      </c>
      <c r="B1" s="40"/>
      <c r="C1" s="40"/>
      <c r="D1" s="40"/>
      <c r="E1" s="40"/>
      <c r="F1" s="40"/>
      <c r="G1" s="40"/>
      <c r="H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</row>
    <row r="4" customFormat="false" ht="30" hidden="false" customHeight="true" outlineLevel="0" collapsed="false">
      <c r="A4" s="41" t="s">
        <v>1212</v>
      </c>
      <c r="B4" s="41" t="s">
        <v>1213</v>
      </c>
      <c r="C4" s="41" t="s">
        <v>1214</v>
      </c>
      <c r="D4" s="41" t="s">
        <v>1215</v>
      </c>
      <c r="E4" s="41" t="s">
        <v>1216</v>
      </c>
      <c r="F4" s="41" t="s">
        <v>75</v>
      </c>
      <c r="G4" s="41" t="s">
        <v>1217</v>
      </c>
      <c r="H4" s="41" t="s">
        <v>1218</v>
      </c>
    </row>
    <row r="5" customFormat="false" ht="18" hidden="false" customHeight="true" outlineLevel="0" collapsed="false">
      <c r="A5" s="42" t="n">
        <v>45660</v>
      </c>
      <c r="B5" s="24" t="s">
        <v>1071</v>
      </c>
      <c r="C5" s="24" t="s">
        <v>1070</v>
      </c>
      <c r="D5" s="24" t="n">
        <v>50</v>
      </c>
      <c r="E5" s="25" t="n">
        <v>300</v>
      </c>
      <c r="F5" s="25" t="n">
        <f aca="false">D5*E5</f>
        <v>15000</v>
      </c>
      <c r="G5" s="24" t="s">
        <v>1219</v>
      </c>
      <c r="H5" s="24" t="s">
        <v>1220</v>
      </c>
    </row>
    <row r="6" customFormat="false" ht="18" hidden="false" customHeight="true" outlineLevel="0" collapsed="false">
      <c r="A6" s="45" t="n">
        <v>45662</v>
      </c>
      <c r="B6" s="28" t="s">
        <v>1077</v>
      </c>
      <c r="C6" s="28" t="s">
        <v>1221</v>
      </c>
      <c r="D6" s="28" t="n">
        <v>30</v>
      </c>
      <c r="E6" s="29" t="n">
        <v>200</v>
      </c>
      <c r="F6" s="29" t="n">
        <f aca="false">D6*E6</f>
        <v>6000</v>
      </c>
      <c r="G6" s="28" t="s">
        <v>1219</v>
      </c>
      <c r="H6" s="28" t="s">
        <v>1220</v>
      </c>
    </row>
    <row r="7" customFormat="false" ht="18" hidden="false" customHeight="true" outlineLevel="0" collapsed="false">
      <c r="A7" s="42" t="n">
        <v>45665</v>
      </c>
      <c r="B7" s="24" t="s">
        <v>1088</v>
      </c>
      <c r="C7" s="24" t="s">
        <v>1222</v>
      </c>
      <c r="D7" s="24" t="n">
        <v>40</v>
      </c>
      <c r="E7" s="25" t="n">
        <v>320</v>
      </c>
      <c r="F7" s="25" t="n">
        <f aca="false">D7*E7</f>
        <v>12800</v>
      </c>
      <c r="G7" s="24" t="s">
        <v>1219</v>
      </c>
      <c r="H7" s="24" t="s">
        <v>1220</v>
      </c>
    </row>
    <row r="8" customFormat="false" ht="18" hidden="false" customHeight="true" outlineLevel="0" collapsed="false">
      <c r="A8" s="45" t="n">
        <v>45667</v>
      </c>
      <c r="B8" s="28" t="s">
        <v>1084</v>
      </c>
      <c r="C8" s="28" t="s">
        <v>1223</v>
      </c>
      <c r="D8" s="28" t="n">
        <v>100</v>
      </c>
      <c r="E8" s="29" t="n">
        <v>10</v>
      </c>
      <c r="F8" s="29" t="n">
        <f aca="false">D8*E8</f>
        <v>1000</v>
      </c>
      <c r="G8" s="28" t="s">
        <v>1219</v>
      </c>
      <c r="H8" s="28" t="s">
        <v>1220</v>
      </c>
    </row>
    <row r="9" customFormat="false" ht="18" hidden="false" customHeight="true" outlineLevel="0" collapsed="false">
      <c r="A9" s="42" t="n">
        <v>45672</v>
      </c>
      <c r="B9" s="24" t="s">
        <v>1093</v>
      </c>
      <c r="C9" s="24" t="s">
        <v>1224</v>
      </c>
      <c r="D9" s="24" t="n">
        <v>10</v>
      </c>
      <c r="E9" s="25" t="n">
        <v>2100</v>
      </c>
      <c r="F9" s="25" t="n">
        <f aca="false">D9*E9</f>
        <v>21000</v>
      </c>
      <c r="G9" s="24" t="s">
        <v>1219</v>
      </c>
      <c r="H9" s="24" t="s">
        <v>1225</v>
      </c>
    </row>
    <row r="10" customFormat="false" ht="18" hidden="false" customHeight="true" outlineLevel="0" collapsed="false">
      <c r="A10" s="45" t="n">
        <v>45675</v>
      </c>
      <c r="B10" s="28" t="s">
        <v>1111</v>
      </c>
      <c r="C10" s="28" t="s">
        <v>1226</v>
      </c>
      <c r="D10" s="28" t="n">
        <v>24</v>
      </c>
      <c r="E10" s="29" t="n">
        <v>70</v>
      </c>
      <c r="F10" s="29" t="n">
        <f aca="false">D10*E10</f>
        <v>1680</v>
      </c>
      <c r="G10" s="28" t="s">
        <v>1219</v>
      </c>
      <c r="H10" s="28" t="s">
        <v>1220</v>
      </c>
    </row>
    <row r="11" customFormat="false" ht="18" hidden="false" customHeight="true" outlineLevel="0" collapsed="false">
      <c r="A11" s="42" t="n">
        <v>45679</v>
      </c>
      <c r="B11" s="24" t="s">
        <v>1115</v>
      </c>
      <c r="C11" s="24" t="s">
        <v>1227</v>
      </c>
      <c r="D11" s="24" t="n">
        <v>20</v>
      </c>
      <c r="E11" s="25" t="n">
        <v>115</v>
      </c>
      <c r="F11" s="25" t="n">
        <f aca="false">D11*E11</f>
        <v>2300</v>
      </c>
      <c r="G11" s="24" t="s">
        <v>1228</v>
      </c>
      <c r="H11" s="24" t="s">
        <v>1225</v>
      </c>
    </row>
    <row r="12" customFormat="false" ht="18" hidden="false" customHeight="true" outlineLevel="0" collapsed="false">
      <c r="A12" s="45" t="n">
        <v>45691</v>
      </c>
      <c r="B12" s="28" t="s">
        <v>1071</v>
      </c>
      <c r="C12" s="28" t="s">
        <v>1074</v>
      </c>
      <c r="D12" s="28" t="n">
        <v>40</v>
      </c>
      <c r="E12" s="29" t="n">
        <v>260</v>
      </c>
      <c r="F12" s="29" t="n">
        <f aca="false">D12*E12</f>
        <v>10400</v>
      </c>
      <c r="G12" s="28" t="s">
        <v>1219</v>
      </c>
      <c r="H12" s="28" t="s">
        <v>1220</v>
      </c>
    </row>
    <row r="13" customFormat="false" ht="18" hidden="false" customHeight="true" outlineLevel="0" collapsed="false">
      <c r="A13" s="42" t="n">
        <v>45695</v>
      </c>
      <c r="B13" s="24" t="s">
        <v>1077</v>
      </c>
      <c r="C13" s="24" t="s">
        <v>52</v>
      </c>
      <c r="D13" s="24" t="n">
        <v>50</v>
      </c>
      <c r="E13" s="25" t="n">
        <v>40</v>
      </c>
      <c r="F13" s="25" t="n">
        <f aca="false">D13*E13</f>
        <v>2000</v>
      </c>
      <c r="G13" s="24" t="s">
        <v>1219</v>
      </c>
      <c r="H13" s="24" t="s">
        <v>1220</v>
      </c>
    </row>
    <row r="14" customFormat="false" ht="18" hidden="false" customHeight="true" outlineLevel="0" collapsed="false">
      <c r="A14" s="45" t="n">
        <v>45698</v>
      </c>
      <c r="B14" s="28" t="s">
        <v>1097</v>
      </c>
      <c r="C14" s="28" t="s">
        <v>1229</v>
      </c>
      <c r="D14" s="28" t="n">
        <v>30</v>
      </c>
      <c r="E14" s="29" t="n">
        <v>36</v>
      </c>
      <c r="F14" s="29" t="n">
        <f aca="false">D14*E14</f>
        <v>1080</v>
      </c>
      <c r="G14" s="28" t="s">
        <v>1219</v>
      </c>
      <c r="H14" s="28" t="s">
        <v>1220</v>
      </c>
    </row>
    <row r="15" customFormat="false" ht="18" hidden="false" customHeight="true" outlineLevel="0" collapsed="false">
      <c r="A15" s="42" t="n">
        <v>45702</v>
      </c>
      <c r="B15" s="24" t="s">
        <v>1103</v>
      </c>
      <c r="C15" s="24" t="s">
        <v>1230</v>
      </c>
      <c r="D15" s="24" t="n">
        <v>20</v>
      </c>
      <c r="E15" s="25" t="n">
        <v>32</v>
      </c>
      <c r="F15" s="25" t="n">
        <f aca="false">D15*E15</f>
        <v>640</v>
      </c>
      <c r="G15" s="24" t="s">
        <v>1219</v>
      </c>
      <c r="H15" s="24" t="s">
        <v>1225</v>
      </c>
    </row>
    <row r="16" customFormat="false" ht="18" hidden="false" customHeight="true" outlineLevel="0" collapsed="false">
      <c r="A16" s="45" t="n">
        <v>45706</v>
      </c>
      <c r="B16" s="28" t="s">
        <v>1122</v>
      </c>
      <c r="C16" s="28" t="s">
        <v>1231</v>
      </c>
      <c r="D16" s="28" t="n">
        <v>60</v>
      </c>
      <c r="E16" s="29" t="n">
        <v>16</v>
      </c>
      <c r="F16" s="29" t="n">
        <f aca="false">D16*E16</f>
        <v>960</v>
      </c>
      <c r="G16" s="28" t="s">
        <v>1228</v>
      </c>
      <c r="H16" s="28" t="s">
        <v>1225</v>
      </c>
    </row>
    <row r="17" customFormat="false" ht="18" hidden="false" customHeight="true" outlineLevel="0" collapsed="false">
      <c r="A17" s="42" t="n">
        <v>45718</v>
      </c>
      <c r="B17" s="24" t="s">
        <v>1088</v>
      </c>
      <c r="C17" s="24" t="s">
        <v>1232</v>
      </c>
      <c r="D17" s="24" t="n">
        <v>80</v>
      </c>
      <c r="E17" s="25" t="n">
        <v>60</v>
      </c>
      <c r="F17" s="25" t="n">
        <f aca="false">D17*E17</f>
        <v>4800</v>
      </c>
      <c r="G17" s="24" t="s">
        <v>1219</v>
      </c>
      <c r="H17" s="24" t="s">
        <v>1220</v>
      </c>
    </row>
    <row r="18" customFormat="false" ht="18" hidden="false" customHeight="true" outlineLevel="0" collapsed="false">
      <c r="A18" s="45" t="n">
        <v>45721</v>
      </c>
      <c r="B18" s="28" t="s">
        <v>1093</v>
      </c>
      <c r="C18" s="28" t="s">
        <v>1106</v>
      </c>
      <c r="D18" s="28" t="n">
        <v>100</v>
      </c>
      <c r="E18" s="29" t="n">
        <v>28</v>
      </c>
      <c r="F18" s="29" t="n">
        <f aca="false">D18*E18</f>
        <v>2800</v>
      </c>
      <c r="G18" s="28" t="s">
        <v>1219</v>
      </c>
      <c r="H18" s="28" t="s">
        <v>1220</v>
      </c>
    </row>
    <row r="19" customFormat="false" ht="18" hidden="false" customHeight="true" outlineLevel="0" collapsed="false">
      <c r="A19" s="42" t="n">
        <v>45724</v>
      </c>
      <c r="B19" s="24" t="s">
        <v>1115</v>
      </c>
      <c r="C19" s="24" t="s">
        <v>1118</v>
      </c>
      <c r="D19" s="24" t="n">
        <v>80</v>
      </c>
      <c r="E19" s="25" t="n">
        <v>22</v>
      </c>
      <c r="F19" s="25" t="n">
        <f aca="false">D19*E19</f>
        <v>1760</v>
      </c>
      <c r="G19" s="24" t="s">
        <v>1233</v>
      </c>
      <c r="H19" s="24" t="s">
        <v>1225</v>
      </c>
    </row>
    <row r="21" customFormat="false" ht="15" hidden="false" customHeight="true" outlineLevel="0" collapsed="false">
      <c r="A21" s="48" t="s">
        <v>1234</v>
      </c>
      <c r="B21" s="48"/>
      <c r="C21" s="48"/>
      <c r="D21" s="48"/>
      <c r="E21" s="48"/>
      <c r="F21" s="49" t="n">
        <f aca="false">SUM(F5:F19)</f>
        <v>84220</v>
      </c>
    </row>
    <row r="22" customFormat="false" ht="15" hidden="false" customHeight="true" outlineLevel="0" collapsed="false">
      <c r="A22" s="66" t="s">
        <v>1235</v>
      </c>
      <c r="B22" s="66"/>
      <c r="C22" s="66"/>
      <c r="D22" s="66"/>
      <c r="E22" s="66"/>
      <c r="F22" s="67" t="n">
        <f aca="false">SUMIF($H$5:$H$19,"Pending",$F$5:$F$19)</f>
        <v>26660</v>
      </c>
    </row>
  </sheetData>
  <mergeCells count="3">
    <mergeCell ref="A1:H2"/>
    <mergeCell ref="A21:E21"/>
    <mergeCell ref="A22:E22"/>
  </mergeCells>
  <conditionalFormatting sqref="A5:H19">
    <cfRule type="expression" priority="2" aboveAverage="0" equalAverage="0" bottom="0" percent="0" rank="0" text="" dxfId="2">
      <formula>$H5="Pending"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40" t="s">
        <v>1236</v>
      </c>
      <c r="B1" s="40"/>
      <c r="C1" s="40"/>
      <c r="D1" s="40"/>
      <c r="E1" s="40"/>
      <c r="F1" s="40"/>
      <c r="G1" s="40"/>
      <c r="H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  <c r="G2" s="40"/>
      <c r="H2" s="40"/>
    </row>
    <row r="4" customFormat="false" ht="30" hidden="false" customHeight="true" outlineLevel="0" collapsed="false">
      <c r="A4" s="41" t="s">
        <v>67</v>
      </c>
      <c r="B4" s="41" t="s">
        <v>1237</v>
      </c>
      <c r="C4" s="41" t="s">
        <v>1238</v>
      </c>
      <c r="D4" s="41" t="s">
        <v>1239</v>
      </c>
      <c r="E4" s="41" t="s">
        <v>1240</v>
      </c>
      <c r="F4" s="41" t="s">
        <v>1241</v>
      </c>
      <c r="G4" s="41" t="s">
        <v>1242</v>
      </c>
      <c r="H4" s="41" t="s">
        <v>1243</v>
      </c>
    </row>
    <row r="5" customFormat="false" ht="18" hidden="false" customHeight="true" outlineLevel="0" collapsed="false">
      <c r="A5" s="42" t="n">
        <v>45658</v>
      </c>
      <c r="B5" s="25" t="n">
        <v>50000</v>
      </c>
      <c r="C5" s="25" t="n">
        <v>10960</v>
      </c>
      <c r="D5" s="25" t="n">
        <v>2607</v>
      </c>
      <c r="E5" s="25" t="n">
        <v>2457</v>
      </c>
      <c r="F5" s="25" t="n">
        <v>0</v>
      </c>
      <c r="G5" s="25" t="n">
        <v>509</v>
      </c>
      <c r="H5" s="25" t="n">
        <f aca="false">B5+C5-D5-E5+F5-G5</f>
        <v>55387</v>
      </c>
    </row>
    <row r="6" customFormat="false" ht="18" hidden="false" customHeight="true" outlineLevel="0" collapsed="false">
      <c r="A6" s="45" t="n">
        <v>45659</v>
      </c>
      <c r="B6" s="29" t="n">
        <f aca="false">H5</f>
        <v>55387</v>
      </c>
      <c r="C6" s="29" t="n">
        <v>10610</v>
      </c>
      <c r="D6" s="29" t="n">
        <v>2505</v>
      </c>
      <c r="E6" s="29" t="n">
        <v>4946</v>
      </c>
      <c r="F6" s="29" t="n">
        <v>0</v>
      </c>
      <c r="G6" s="29" t="n">
        <v>290</v>
      </c>
      <c r="H6" s="29" t="n">
        <f aca="false">B6+C6-D6-E6+F6-G6</f>
        <v>58256</v>
      </c>
    </row>
    <row r="7" customFormat="false" ht="18" hidden="false" customHeight="true" outlineLevel="0" collapsed="false">
      <c r="A7" s="42" t="n">
        <v>45660</v>
      </c>
      <c r="B7" s="25" t="n">
        <f aca="false">H6</f>
        <v>58256</v>
      </c>
      <c r="C7" s="25" t="n">
        <v>19522</v>
      </c>
      <c r="D7" s="25" t="n">
        <v>4866</v>
      </c>
      <c r="E7" s="25" t="n">
        <v>8856</v>
      </c>
      <c r="F7" s="25" t="n">
        <v>0</v>
      </c>
      <c r="G7" s="25" t="n">
        <v>594</v>
      </c>
      <c r="H7" s="25" t="n">
        <f aca="false">B7+C7-D7-E7+F7-G7</f>
        <v>63462</v>
      </c>
    </row>
    <row r="8" customFormat="false" ht="18" hidden="false" customHeight="true" outlineLevel="0" collapsed="false">
      <c r="A8" s="45" t="n">
        <v>45661</v>
      </c>
      <c r="B8" s="29" t="n">
        <f aca="false">H7</f>
        <v>63462</v>
      </c>
      <c r="C8" s="29" t="n">
        <v>20710</v>
      </c>
      <c r="D8" s="29" t="n">
        <v>5124</v>
      </c>
      <c r="E8" s="29" t="n">
        <v>6647</v>
      </c>
      <c r="F8" s="29" t="n">
        <v>0</v>
      </c>
      <c r="G8" s="29" t="n">
        <v>525</v>
      </c>
      <c r="H8" s="29" t="n">
        <f aca="false">B8+C8-D8-E8+F8-G8</f>
        <v>71876</v>
      </c>
    </row>
    <row r="9" customFormat="false" ht="18" hidden="false" customHeight="true" outlineLevel="0" collapsed="false">
      <c r="A9" s="42" t="n">
        <v>45662</v>
      </c>
      <c r="B9" s="25" t="n">
        <f aca="false">H8</f>
        <v>71876</v>
      </c>
      <c r="C9" s="25" t="n">
        <v>22053</v>
      </c>
      <c r="D9" s="25" t="n">
        <v>5376</v>
      </c>
      <c r="E9" s="25" t="n">
        <v>12664</v>
      </c>
      <c r="F9" s="25" t="n">
        <v>0</v>
      </c>
      <c r="G9" s="25" t="n">
        <v>241</v>
      </c>
      <c r="H9" s="25" t="n">
        <f aca="false">B9+C9-D9-E9+F9-G9</f>
        <v>75648</v>
      </c>
    </row>
    <row r="10" customFormat="false" ht="18" hidden="false" customHeight="true" outlineLevel="0" collapsed="false">
      <c r="A10" s="45" t="n">
        <v>45663</v>
      </c>
      <c r="B10" s="29" t="n">
        <f aca="false">H9</f>
        <v>75648</v>
      </c>
      <c r="C10" s="29" t="n">
        <v>16429</v>
      </c>
      <c r="D10" s="29" t="n">
        <v>1336</v>
      </c>
      <c r="E10" s="29" t="n">
        <v>3778</v>
      </c>
      <c r="F10" s="29" t="n">
        <v>0</v>
      </c>
      <c r="G10" s="29" t="n">
        <v>725</v>
      </c>
      <c r="H10" s="29" t="n">
        <f aca="false">B10+C10-D10-E10+F10-G10</f>
        <v>86238</v>
      </c>
    </row>
    <row r="11" customFormat="false" ht="18" hidden="false" customHeight="true" outlineLevel="0" collapsed="false">
      <c r="A11" s="42" t="n">
        <v>45664</v>
      </c>
      <c r="B11" s="25" t="n">
        <f aca="false">H10</f>
        <v>86238</v>
      </c>
      <c r="C11" s="25" t="n">
        <v>8476</v>
      </c>
      <c r="D11" s="25" t="n">
        <v>5672</v>
      </c>
      <c r="E11" s="25" t="n">
        <v>7610</v>
      </c>
      <c r="F11" s="25" t="n">
        <v>0</v>
      </c>
      <c r="G11" s="25" t="n">
        <v>429</v>
      </c>
      <c r="H11" s="25" t="n">
        <f aca="false">B11+C11-D11-E11+F11-G11</f>
        <v>81003</v>
      </c>
    </row>
    <row r="12" customFormat="false" ht="18" hidden="false" customHeight="true" outlineLevel="0" collapsed="false">
      <c r="A12" s="45" t="n">
        <v>45665</v>
      </c>
      <c r="B12" s="29" t="n">
        <f aca="false">H11</f>
        <v>81003</v>
      </c>
      <c r="C12" s="29" t="n">
        <v>9719</v>
      </c>
      <c r="D12" s="29" t="n">
        <v>4101</v>
      </c>
      <c r="E12" s="29" t="n">
        <v>3796</v>
      </c>
      <c r="F12" s="29" t="n">
        <v>0</v>
      </c>
      <c r="G12" s="29" t="n">
        <v>290</v>
      </c>
      <c r="H12" s="29" t="n">
        <f aca="false">B12+C12-D12-E12+F12-G12</f>
        <v>82535</v>
      </c>
    </row>
    <row r="13" customFormat="false" ht="18" hidden="false" customHeight="true" outlineLevel="0" collapsed="false">
      <c r="A13" s="42" t="n">
        <v>45666</v>
      </c>
      <c r="B13" s="25" t="n">
        <f aca="false">H12</f>
        <v>82535</v>
      </c>
      <c r="C13" s="25" t="n">
        <v>24448</v>
      </c>
      <c r="D13" s="25" t="n">
        <v>4507</v>
      </c>
      <c r="E13" s="25" t="n">
        <v>3196</v>
      </c>
      <c r="F13" s="25" t="n">
        <v>0</v>
      </c>
      <c r="G13" s="25" t="n">
        <v>432</v>
      </c>
      <c r="H13" s="25" t="n">
        <f aca="false">B13+C13-D13-E13+F13-G13</f>
        <v>98848</v>
      </c>
    </row>
    <row r="14" customFormat="false" ht="18" hidden="false" customHeight="true" outlineLevel="0" collapsed="false">
      <c r="A14" s="45" t="n">
        <v>45667</v>
      </c>
      <c r="B14" s="29" t="n">
        <f aca="false">H13</f>
        <v>98848</v>
      </c>
      <c r="C14" s="29" t="n">
        <v>14725</v>
      </c>
      <c r="D14" s="29" t="n">
        <v>4361</v>
      </c>
      <c r="E14" s="29" t="n">
        <v>2786</v>
      </c>
      <c r="F14" s="29" t="n">
        <v>0</v>
      </c>
      <c r="G14" s="29" t="n">
        <v>512</v>
      </c>
      <c r="H14" s="29" t="n">
        <f aca="false">B14+C14-D14-E14+F14-G14</f>
        <v>105914</v>
      </c>
    </row>
    <row r="15" customFormat="false" ht="18" hidden="false" customHeight="true" outlineLevel="0" collapsed="false">
      <c r="A15" s="42" t="n">
        <v>45668</v>
      </c>
      <c r="B15" s="25" t="n">
        <f aca="false">H14</f>
        <v>105914</v>
      </c>
      <c r="C15" s="25" t="n">
        <v>18823</v>
      </c>
      <c r="D15" s="25" t="n">
        <v>1068</v>
      </c>
      <c r="E15" s="25" t="n">
        <v>1755</v>
      </c>
      <c r="F15" s="25" t="n">
        <v>0</v>
      </c>
      <c r="G15" s="25" t="n">
        <v>620</v>
      </c>
      <c r="H15" s="25" t="n">
        <f aca="false">B15+C15-D15-E15+F15-G15</f>
        <v>121294</v>
      </c>
    </row>
    <row r="16" customFormat="false" ht="18" hidden="false" customHeight="true" outlineLevel="0" collapsed="false">
      <c r="A16" s="45" t="n">
        <v>45669</v>
      </c>
      <c r="B16" s="29" t="n">
        <f aca="false">H15</f>
        <v>121294</v>
      </c>
      <c r="C16" s="29" t="n">
        <v>18175</v>
      </c>
      <c r="D16" s="29" t="n">
        <v>3660</v>
      </c>
      <c r="E16" s="29" t="n">
        <v>5935</v>
      </c>
      <c r="F16" s="29" t="n">
        <v>0</v>
      </c>
      <c r="G16" s="29" t="n">
        <v>407</v>
      </c>
      <c r="H16" s="29" t="n">
        <f aca="false">B16+C16-D16-E16+F16-G16</f>
        <v>129467</v>
      </c>
    </row>
    <row r="17" customFormat="false" ht="18" hidden="false" customHeight="true" outlineLevel="0" collapsed="false">
      <c r="A17" s="42" t="n">
        <v>45670</v>
      </c>
      <c r="B17" s="25" t="n">
        <f aca="false">H16</f>
        <v>129467</v>
      </c>
      <c r="C17" s="25" t="n">
        <v>15879</v>
      </c>
      <c r="D17" s="25" t="n">
        <v>4833</v>
      </c>
      <c r="E17" s="25" t="n">
        <v>2870</v>
      </c>
      <c r="F17" s="25" t="n">
        <v>0</v>
      </c>
      <c r="G17" s="25" t="n">
        <v>368</v>
      </c>
      <c r="H17" s="25" t="n">
        <f aca="false">B17+C17-D17-E17+F17-G17</f>
        <v>137275</v>
      </c>
    </row>
    <row r="18" customFormat="false" ht="18" hidden="false" customHeight="true" outlineLevel="0" collapsed="false">
      <c r="A18" s="45" t="n">
        <v>45671</v>
      </c>
      <c r="B18" s="29" t="n">
        <f aca="false">H17</f>
        <v>137275</v>
      </c>
      <c r="C18" s="29" t="n">
        <v>15243</v>
      </c>
      <c r="D18" s="29" t="n">
        <v>3531</v>
      </c>
      <c r="E18" s="29" t="n">
        <v>9077</v>
      </c>
      <c r="F18" s="29" t="n">
        <v>0</v>
      </c>
      <c r="G18" s="29" t="n">
        <v>365</v>
      </c>
      <c r="H18" s="29" t="n">
        <f aca="false">B18+C18-D18-E18+F18-G18</f>
        <v>139545</v>
      </c>
    </row>
    <row r="19" customFormat="false" ht="18" hidden="false" customHeight="true" outlineLevel="0" collapsed="false">
      <c r="A19" s="42" t="n">
        <v>45672</v>
      </c>
      <c r="B19" s="25" t="n">
        <f aca="false">H18</f>
        <v>139545</v>
      </c>
      <c r="C19" s="25" t="n">
        <v>22425</v>
      </c>
      <c r="D19" s="25" t="n">
        <v>2715</v>
      </c>
      <c r="E19" s="25" t="n">
        <v>4943</v>
      </c>
      <c r="F19" s="25" t="n">
        <v>0</v>
      </c>
      <c r="G19" s="25" t="n">
        <v>333</v>
      </c>
      <c r="H19" s="25" t="n">
        <f aca="false">B19+C19-D19-E19+F19-G19</f>
        <v>153979</v>
      </c>
    </row>
    <row r="20" customFormat="false" ht="18" hidden="false" customHeight="true" outlineLevel="0" collapsed="false">
      <c r="A20" s="45" t="n">
        <v>45673</v>
      </c>
      <c r="B20" s="29" t="n">
        <f aca="false">H19</f>
        <v>153979</v>
      </c>
      <c r="C20" s="29" t="n">
        <v>21602</v>
      </c>
      <c r="D20" s="29" t="n">
        <v>4847</v>
      </c>
      <c r="E20" s="29" t="n">
        <v>9598</v>
      </c>
      <c r="F20" s="29" t="n">
        <v>0</v>
      </c>
      <c r="G20" s="29" t="n">
        <v>309</v>
      </c>
      <c r="H20" s="29" t="n">
        <f aca="false">B20+C20-D20-E20+F20-G20</f>
        <v>160827</v>
      </c>
    </row>
    <row r="21" customFormat="false" ht="18" hidden="false" customHeight="true" outlineLevel="0" collapsed="false">
      <c r="A21" s="42" t="n">
        <v>45674</v>
      </c>
      <c r="B21" s="25" t="n">
        <f aca="false">H20</f>
        <v>160827</v>
      </c>
      <c r="C21" s="25" t="n">
        <v>21087</v>
      </c>
      <c r="D21" s="25" t="n">
        <v>1646</v>
      </c>
      <c r="E21" s="25" t="n">
        <v>4166</v>
      </c>
      <c r="F21" s="25" t="n">
        <v>0</v>
      </c>
      <c r="G21" s="25" t="n">
        <v>257</v>
      </c>
      <c r="H21" s="25" t="n">
        <f aca="false">B21+C21-D21-E21+F21-G21</f>
        <v>175845</v>
      </c>
    </row>
    <row r="22" customFormat="false" ht="18" hidden="false" customHeight="true" outlineLevel="0" collapsed="false">
      <c r="A22" s="45" t="n">
        <v>45675</v>
      </c>
      <c r="B22" s="29" t="n">
        <f aca="false">H21</f>
        <v>175845</v>
      </c>
      <c r="C22" s="29" t="n">
        <v>16541</v>
      </c>
      <c r="D22" s="29" t="n">
        <v>3443</v>
      </c>
      <c r="E22" s="29" t="n">
        <v>5146</v>
      </c>
      <c r="F22" s="29" t="n">
        <v>0</v>
      </c>
      <c r="G22" s="29" t="n">
        <v>476</v>
      </c>
      <c r="H22" s="29" t="n">
        <f aca="false">B22+C22-D22-E22+F22-G22</f>
        <v>183321</v>
      </c>
    </row>
    <row r="23" customFormat="false" ht="18" hidden="false" customHeight="true" outlineLevel="0" collapsed="false">
      <c r="A23" s="42" t="n">
        <v>45676</v>
      </c>
      <c r="B23" s="25" t="n">
        <f aca="false">H22</f>
        <v>183321</v>
      </c>
      <c r="C23" s="25" t="n">
        <v>12112</v>
      </c>
      <c r="D23" s="25" t="n">
        <v>1687</v>
      </c>
      <c r="E23" s="25" t="n">
        <v>9826</v>
      </c>
      <c r="F23" s="25" t="n">
        <v>0</v>
      </c>
      <c r="G23" s="25" t="n">
        <v>624</v>
      </c>
      <c r="H23" s="25" t="n">
        <f aca="false">B23+C23-D23-E23+F23-G23</f>
        <v>183296</v>
      </c>
    </row>
    <row r="24" customFormat="false" ht="18" hidden="false" customHeight="true" outlineLevel="0" collapsed="false">
      <c r="A24" s="45" t="n">
        <v>45677</v>
      </c>
      <c r="B24" s="29" t="n">
        <f aca="false">H23</f>
        <v>183296</v>
      </c>
      <c r="C24" s="29" t="n">
        <v>22784</v>
      </c>
      <c r="D24" s="29" t="n">
        <v>5069</v>
      </c>
      <c r="E24" s="29" t="n">
        <v>7976</v>
      </c>
      <c r="F24" s="29" t="n">
        <v>0</v>
      </c>
      <c r="G24" s="29" t="n">
        <v>270</v>
      </c>
      <c r="H24" s="29" t="n">
        <f aca="false">B24+C24-D24-E24+F24-G24</f>
        <v>192765</v>
      </c>
    </row>
    <row r="25" customFormat="false" ht="18" hidden="false" customHeight="true" outlineLevel="0" collapsed="false">
      <c r="A25" s="42" t="n">
        <v>45678</v>
      </c>
      <c r="B25" s="25" t="n">
        <f aca="false">H24</f>
        <v>192765</v>
      </c>
      <c r="C25" s="25" t="n">
        <v>23778</v>
      </c>
      <c r="D25" s="25" t="n">
        <v>3147</v>
      </c>
      <c r="E25" s="25" t="n">
        <v>8989</v>
      </c>
      <c r="F25" s="25" t="n">
        <v>0</v>
      </c>
      <c r="G25" s="25" t="n">
        <v>563</v>
      </c>
      <c r="H25" s="25" t="n">
        <f aca="false">B25+C25-D25-E25+F25-G25</f>
        <v>203844</v>
      </c>
    </row>
    <row r="26" customFormat="false" ht="18" hidden="false" customHeight="true" outlineLevel="0" collapsed="false">
      <c r="A26" s="45" t="n">
        <v>45679</v>
      </c>
      <c r="B26" s="29" t="n">
        <f aca="false">H25</f>
        <v>203844</v>
      </c>
      <c r="C26" s="29" t="n">
        <v>12089</v>
      </c>
      <c r="D26" s="29" t="n">
        <v>3303</v>
      </c>
      <c r="E26" s="29" t="n">
        <v>3679</v>
      </c>
      <c r="F26" s="29" t="n">
        <v>0</v>
      </c>
      <c r="G26" s="29" t="n">
        <v>601</v>
      </c>
      <c r="H26" s="29" t="n">
        <f aca="false">B26+C26-D26-E26+F26-G26</f>
        <v>208350</v>
      </c>
    </row>
    <row r="27" customFormat="false" ht="18" hidden="false" customHeight="true" outlineLevel="0" collapsed="false">
      <c r="A27" s="42" t="n">
        <v>45680</v>
      </c>
      <c r="B27" s="25" t="n">
        <f aca="false">H26</f>
        <v>208350</v>
      </c>
      <c r="C27" s="25" t="n">
        <v>21863</v>
      </c>
      <c r="D27" s="25" t="n">
        <v>4869</v>
      </c>
      <c r="E27" s="25" t="n">
        <v>9669</v>
      </c>
      <c r="F27" s="25" t="n">
        <v>0</v>
      </c>
      <c r="G27" s="25" t="n">
        <v>378</v>
      </c>
      <c r="H27" s="25" t="n">
        <f aca="false">B27+C27-D27-E27+F27-G27</f>
        <v>215297</v>
      </c>
    </row>
    <row r="28" customFormat="false" ht="18" hidden="false" customHeight="true" outlineLevel="0" collapsed="false">
      <c r="A28" s="45" t="n">
        <v>45681</v>
      </c>
      <c r="B28" s="29" t="n">
        <f aca="false">H27</f>
        <v>215297</v>
      </c>
      <c r="C28" s="29" t="n">
        <v>17069</v>
      </c>
      <c r="D28" s="29" t="n">
        <v>1467</v>
      </c>
      <c r="E28" s="29" t="n">
        <v>3902</v>
      </c>
      <c r="F28" s="29" t="n">
        <v>0</v>
      </c>
      <c r="G28" s="29" t="n">
        <v>563</v>
      </c>
      <c r="H28" s="29" t="n">
        <f aca="false">B28+C28-D28-E28+F28-G28</f>
        <v>226434</v>
      </c>
    </row>
    <row r="29" customFormat="false" ht="18" hidden="false" customHeight="true" outlineLevel="0" collapsed="false">
      <c r="A29" s="42" t="n">
        <v>45682</v>
      </c>
      <c r="B29" s="25" t="n">
        <f aca="false">H28</f>
        <v>226434</v>
      </c>
      <c r="C29" s="25" t="n">
        <v>21716</v>
      </c>
      <c r="D29" s="25" t="n">
        <v>3645</v>
      </c>
      <c r="E29" s="25" t="n">
        <v>11549</v>
      </c>
      <c r="F29" s="25" t="n">
        <v>0</v>
      </c>
      <c r="G29" s="25" t="n">
        <v>561</v>
      </c>
      <c r="H29" s="25" t="n">
        <f aca="false">B29+C29-D29-E29+F29-G29</f>
        <v>232395</v>
      </c>
    </row>
    <row r="30" customFormat="false" ht="18" hidden="false" customHeight="true" outlineLevel="0" collapsed="false">
      <c r="A30" s="45" t="n">
        <v>45683</v>
      </c>
      <c r="B30" s="29" t="n">
        <f aca="false">H29</f>
        <v>232395</v>
      </c>
      <c r="C30" s="29" t="n">
        <v>8127</v>
      </c>
      <c r="D30" s="29" t="n">
        <v>1291</v>
      </c>
      <c r="E30" s="29" t="n">
        <v>5816</v>
      </c>
      <c r="F30" s="29" t="n">
        <v>0</v>
      </c>
      <c r="G30" s="29" t="n">
        <v>404</v>
      </c>
      <c r="H30" s="29" t="n">
        <f aca="false">B30+C30-D30-E30+F30-G30</f>
        <v>233011</v>
      </c>
    </row>
    <row r="31" customFormat="false" ht="18" hidden="false" customHeight="true" outlineLevel="0" collapsed="false">
      <c r="A31" s="42" t="n">
        <v>45684</v>
      </c>
      <c r="B31" s="25" t="n">
        <f aca="false">H30</f>
        <v>233011</v>
      </c>
      <c r="C31" s="25" t="n">
        <v>24020</v>
      </c>
      <c r="D31" s="25" t="n">
        <v>3682</v>
      </c>
      <c r="E31" s="25" t="n">
        <v>7680</v>
      </c>
      <c r="F31" s="25" t="n">
        <v>0</v>
      </c>
      <c r="G31" s="25" t="n">
        <v>743</v>
      </c>
      <c r="H31" s="25" t="n">
        <f aca="false">B31+C31-D31-E31+F31-G31</f>
        <v>244926</v>
      </c>
    </row>
    <row r="32" customFormat="false" ht="18" hidden="false" customHeight="true" outlineLevel="0" collapsed="false">
      <c r="A32" s="45" t="n">
        <v>45685</v>
      </c>
      <c r="B32" s="29" t="n">
        <f aca="false">H31</f>
        <v>244926</v>
      </c>
      <c r="C32" s="29" t="n">
        <v>17550</v>
      </c>
      <c r="D32" s="29" t="n">
        <v>5335</v>
      </c>
      <c r="E32" s="29" t="n">
        <v>6644</v>
      </c>
      <c r="F32" s="29" t="n">
        <v>0</v>
      </c>
      <c r="G32" s="29" t="n">
        <v>474</v>
      </c>
      <c r="H32" s="29" t="n">
        <f aca="false">B32+C32-D32-E32+F32-G32</f>
        <v>250023</v>
      </c>
    </row>
    <row r="33" customFormat="false" ht="18" hidden="false" customHeight="true" outlineLevel="0" collapsed="false">
      <c r="A33" s="42" t="n">
        <v>45686</v>
      </c>
      <c r="B33" s="25" t="n">
        <f aca="false">H32</f>
        <v>250023</v>
      </c>
      <c r="C33" s="25" t="n">
        <v>24059</v>
      </c>
      <c r="D33" s="25" t="n">
        <v>2708</v>
      </c>
      <c r="E33" s="25" t="n">
        <v>10795</v>
      </c>
      <c r="F33" s="25" t="n">
        <v>0</v>
      </c>
      <c r="G33" s="25" t="n">
        <v>453</v>
      </c>
      <c r="H33" s="25" t="n">
        <f aca="false">B33+C33-D33-E33+F33-G33</f>
        <v>260126</v>
      </c>
    </row>
    <row r="34" customFormat="false" ht="18" hidden="false" customHeight="true" outlineLevel="0" collapsed="false">
      <c r="A34" s="45" t="n">
        <v>45687</v>
      </c>
      <c r="B34" s="29" t="n">
        <f aca="false">H33</f>
        <v>260126</v>
      </c>
      <c r="C34" s="29" t="n">
        <v>14028</v>
      </c>
      <c r="D34" s="29" t="n">
        <v>5430</v>
      </c>
      <c r="E34" s="29" t="n">
        <v>3419</v>
      </c>
      <c r="F34" s="29" t="n">
        <v>0</v>
      </c>
      <c r="G34" s="29" t="n">
        <v>554</v>
      </c>
      <c r="H34" s="29" t="n">
        <f aca="false">B34+C34-D34-E34+F34-G34</f>
        <v>264751</v>
      </c>
    </row>
    <row r="36" customFormat="false" ht="15" hidden="false" customHeight="true" outlineLevel="0" collapsed="false">
      <c r="A36" s="68" t="s">
        <v>1244</v>
      </c>
      <c r="B36" s="68"/>
      <c r="C36" s="69" t="n">
        <f aca="false">SUM(C5:C34)</f>
        <v>526622</v>
      </c>
      <c r="D36" s="69" t="n">
        <f aca="false">SUM(D5:D34)</f>
        <v>107831</v>
      </c>
      <c r="E36" s="69" t="n">
        <f aca="false">SUM(E5:E34)</f>
        <v>190170</v>
      </c>
      <c r="G36" s="69" t="n">
        <f aca="false">SUM(G5:G34)</f>
        <v>13870</v>
      </c>
    </row>
  </sheetData>
  <mergeCells count="2">
    <mergeCell ref="A1:H2"/>
    <mergeCell ref="A36:B36"/>
  </mergeCells>
  <conditionalFormatting sqref="H5:H3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40" t="s">
        <v>1245</v>
      </c>
      <c r="B1" s="40"/>
      <c r="C1" s="40"/>
      <c r="D1" s="40"/>
      <c r="E1" s="40"/>
      <c r="F1" s="40"/>
    </row>
    <row r="2" customFormat="false" ht="21.75" hidden="false" customHeight="true" outlineLevel="0" collapsed="false">
      <c r="A2" s="40"/>
      <c r="B2" s="40"/>
      <c r="C2" s="40"/>
      <c r="D2" s="40"/>
      <c r="E2" s="40"/>
      <c r="F2" s="40"/>
    </row>
    <row r="4" customFormat="false" ht="30" hidden="false" customHeight="true" outlineLevel="0" collapsed="false">
      <c r="A4" s="41" t="s">
        <v>39</v>
      </c>
      <c r="B4" s="41" t="s">
        <v>1246</v>
      </c>
      <c r="C4" s="41" t="s">
        <v>1247</v>
      </c>
      <c r="D4" s="41" t="s">
        <v>1248</v>
      </c>
      <c r="E4" s="41" t="s">
        <v>1249</v>
      </c>
      <c r="F4" s="41" t="s">
        <v>1250</v>
      </c>
      <c r="H4" s="70" t="s">
        <v>1251</v>
      </c>
    </row>
    <row r="5" customFormat="false" ht="18" hidden="false" customHeight="true" outlineLevel="0" collapsed="false">
      <c r="A5" s="52" t="s">
        <v>51</v>
      </c>
      <c r="B5" s="54" t="n">
        <f aca="false">SUMPRODUCT((TEXT('📊 Sales Report'!$A$5:$A$957,"MMMM")=A5)*'📊 Sales Report'!$I$5:$I$957)</f>
        <v>4610.06</v>
      </c>
      <c r="C5" s="54" t="n">
        <f aca="false">IFERROR(B5/(1+0.12),0)</f>
        <v>4116.125</v>
      </c>
      <c r="D5" s="54" t="n">
        <f aca="false">B5-C5</f>
        <v>493.935</v>
      </c>
      <c r="E5" s="54" t="n">
        <f aca="false">SUMPRODUCT((TEXT('💸 Expenses'!$A$5:$A$24,"MMMM")=A5)*'💸 Expenses'!$F$5:$F$24)*0.12/1.12</f>
        <v>4371.32142857143</v>
      </c>
      <c r="F5" s="54" t="n">
        <f aca="false">D5-E5</f>
        <v>-3877.38642857143</v>
      </c>
      <c r="H5" s="71" t="s">
        <v>1252</v>
      </c>
    </row>
    <row r="6" customFormat="false" ht="18" hidden="false" customHeight="true" outlineLevel="0" collapsed="false">
      <c r="A6" s="28" t="s">
        <v>53</v>
      </c>
      <c r="B6" s="29" t="n">
        <f aca="false">SUMPRODUCT((TEXT('📊 Sales Report'!$A$5:$A$957,"MMMM")=A6)*'📊 Sales Report'!$I$5:$I$957)</f>
        <v>3866.912</v>
      </c>
      <c r="C6" s="29" t="n">
        <f aca="false">IFERROR(B6/(1+0.12),0)</f>
        <v>3452.6</v>
      </c>
      <c r="D6" s="29" t="n">
        <f aca="false">B6-C6</f>
        <v>414.312</v>
      </c>
      <c r="E6" s="29" t="n">
        <f aca="false">SUMPRODUCT((TEXT('💸 Expenses'!$A$5:$A$24,"MMMM")=A6)*'💸 Expenses'!$F$5:$F$24)*0.12/1.12</f>
        <v>3862.39285714286</v>
      </c>
      <c r="F6" s="29" t="n">
        <f aca="false">D6-E6</f>
        <v>-3448.08085714286</v>
      </c>
    </row>
    <row r="7" customFormat="false" ht="18" hidden="false" customHeight="true" outlineLevel="0" collapsed="false">
      <c r="A7" s="52" t="s">
        <v>54</v>
      </c>
      <c r="B7" s="54" t="n">
        <f aca="false">SUMPRODUCT((TEXT('📊 Sales Report'!$A$5:$A$957,"MMMM")=A7)*'📊 Sales Report'!$I$5:$I$957)</f>
        <v>4495.764</v>
      </c>
      <c r="C7" s="54" t="n">
        <f aca="false">IFERROR(B7/(1+0.12),0)</f>
        <v>4014.075</v>
      </c>
      <c r="D7" s="54" t="n">
        <f aca="false">B7-C7</f>
        <v>481.689</v>
      </c>
      <c r="E7" s="54" t="n">
        <f aca="false">SUMPRODUCT((TEXT('💸 Expenses'!$A$5:$A$24,"MMMM")=A7)*'💸 Expenses'!$F$5:$F$24)*0.12/1.12</f>
        <v>3926.67857142857</v>
      </c>
      <c r="F7" s="54" t="n">
        <f aca="false">D7-E7</f>
        <v>-3444.98957142857</v>
      </c>
    </row>
    <row r="8" customFormat="false" ht="18" hidden="false" customHeight="true" outlineLevel="0" collapsed="false">
      <c r="A8" s="28" t="s">
        <v>55</v>
      </c>
      <c r="B8" s="29" t="n">
        <f aca="false">SUMPRODUCT((TEXT('📊 Sales Report'!$A$5:$A$957,"MMMM")=A8)*'📊 Sales Report'!$I$5:$I$957)</f>
        <v>0</v>
      </c>
      <c r="C8" s="29" t="n">
        <f aca="false">IFERROR(B8/(1+0.12),0)</f>
        <v>0</v>
      </c>
      <c r="D8" s="29" t="n">
        <f aca="false">B8-C8</f>
        <v>0</v>
      </c>
      <c r="E8" s="29" t="n">
        <f aca="false">SUMPRODUCT((TEXT('💸 Expenses'!$A$5:$A$24,"MMMM")=A8)*'💸 Expenses'!$F$5:$F$24)*0.12/1.12</f>
        <v>0</v>
      </c>
      <c r="F8" s="29" t="n">
        <f aca="false">D8-E8</f>
        <v>0</v>
      </c>
    </row>
    <row r="9" customFormat="false" ht="18" hidden="false" customHeight="true" outlineLevel="0" collapsed="false">
      <c r="A9" s="52" t="s">
        <v>56</v>
      </c>
      <c r="B9" s="54" t="n">
        <f aca="false">SUMPRODUCT((TEXT('📊 Sales Report'!$A$5:$A$957,"MMMM")=A9)*'📊 Sales Report'!$I$5:$I$957)</f>
        <v>0</v>
      </c>
      <c r="C9" s="54" t="n">
        <f aca="false">IFERROR(B9/(1+0.12),0)</f>
        <v>0</v>
      </c>
      <c r="D9" s="54" t="n">
        <f aca="false">B9-C9</f>
        <v>0</v>
      </c>
      <c r="E9" s="54" t="n">
        <f aca="false">SUMPRODUCT((TEXT('💸 Expenses'!$A$5:$A$24,"MMMM")=A9)*'💸 Expenses'!$F$5:$F$24)*0.12/1.12</f>
        <v>0</v>
      </c>
      <c r="F9" s="54" t="n">
        <f aca="false">D9-E9</f>
        <v>0</v>
      </c>
    </row>
    <row r="10" customFormat="false" ht="18" hidden="false" customHeight="true" outlineLevel="0" collapsed="false">
      <c r="A10" s="28" t="s">
        <v>58</v>
      </c>
      <c r="B10" s="29" t="n">
        <f aca="false">SUMPRODUCT((TEXT('📊 Sales Report'!$A$5:$A$957,"MMMM")=A10)*'📊 Sales Report'!$I$5:$I$957)</f>
        <v>0</v>
      </c>
      <c r="C10" s="29" t="n">
        <f aca="false">IFERROR(B10/(1+0.12),0)</f>
        <v>0</v>
      </c>
      <c r="D10" s="29" t="n">
        <f aca="false">B10-C10</f>
        <v>0</v>
      </c>
      <c r="E10" s="29" t="n">
        <f aca="false">SUMPRODUCT((TEXT('💸 Expenses'!$A$5:$A$24,"MMMM")=A10)*'💸 Expenses'!$F$5:$F$24)*0.12/1.12</f>
        <v>0</v>
      </c>
      <c r="F10" s="29" t="n">
        <f aca="false">D10-E10</f>
        <v>0</v>
      </c>
    </row>
    <row r="11" customFormat="false" ht="18" hidden="false" customHeight="true" outlineLevel="0" collapsed="false">
      <c r="A11" s="52" t="s">
        <v>59</v>
      </c>
      <c r="B11" s="54" t="n">
        <f aca="false">SUMPRODUCT((TEXT('📊 Sales Report'!$A$5:$A$957,"MMMM")=A11)*'📊 Sales Report'!$I$5:$I$957)</f>
        <v>0</v>
      </c>
      <c r="C11" s="54" t="n">
        <f aca="false">IFERROR(B11/(1+0.12),0)</f>
        <v>0</v>
      </c>
      <c r="D11" s="54" t="n">
        <f aca="false">B11-C11</f>
        <v>0</v>
      </c>
      <c r="E11" s="54" t="n">
        <f aca="false">SUMPRODUCT((TEXT('💸 Expenses'!$A$5:$A$24,"MMMM")=A11)*'💸 Expenses'!$F$5:$F$24)*0.12/1.12</f>
        <v>0</v>
      </c>
      <c r="F11" s="54" t="n">
        <f aca="false">D11-E11</f>
        <v>0</v>
      </c>
    </row>
    <row r="12" customFormat="false" ht="18" hidden="false" customHeight="true" outlineLevel="0" collapsed="false">
      <c r="A12" s="28" t="s">
        <v>60</v>
      </c>
      <c r="B12" s="29" t="n">
        <f aca="false">SUMPRODUCT((TEXT('📊 Sales Report'!$A$5:$A$957,"MMMM")=A12)*'📊 Sales Report'!$I$5:$I$957)</f>
        <v>0</v>
      </c>
      <c r="C12" s="29" t="n">
        <f aca="false">IFERROR(B12/(1+0.12),0)</f>
        <v>0</v>
      </c>
      <c r="D12" s="29" t="n">
        <f aca="false">B12-C12</f>
        <v>0</v>
      </c>
      <c r="E12" s="29" t="n">
        <f aca="false">SUMPRODUCT((TEXT('💸 Expenses'!$A$5:$A$24,"MMMM")=A12)*'💸 Expenses'!$F$5:$F$24)*0.12/1.12</f>
        <v>0</v>
      </c>
      <c r="F12" s="29" t="n">
        <f aca="false">D12-E12</f>
        <v>0</v>
      </c>
    </row>
    <row r="13" customFormat="false" ht="18" hidden="false" customHeight="true" outlineLevel="0" collapsed="false">
      <c r="A13" s="52" t="s">
        <v>61</v>
      </c>
      <c r="B13" s="54" t="n">
        <f aca="false">SUMPRODUCT((TEXT('📊 Sales Report'!$A$5:$A$957,"MMMM")=A13)*'📊 Sales Report'!$I$5:$I$957)</f>
        <v>0</v>
      </c>
      <c r="C13" s="54" t="n">
        <f aca="false">IFERROR(B13/(1+0.12),0)</f>
        <v>0</v>
      </c>
      <c r="D13" s="54" t="n">
        <f aca="false">B13-C13</f>
        <v>0</v>
      </c>
      <c r="E13" s="54" t="n">
        <f aca="false">SUMPRODUCT((TEXT('💸 Expenses'!$A$5:$A$24,"MMMM")=A13)*'💸 Expenses'!$F$5:$F$24)*0.12/1.12</f>
        <v>0</v>
      </c>
      <c r="F13" s="54" t="n">
        <f aca="false">D13-E13</f>
        <v>0</v>
      </c>
    </row>
    <row r="14" customFormat="false" ht="18" hidden="false" customHeight="true" outlineLevel="0" collapsed="false">
      <c r="A14" s="28" t="s">
        <v>62</v>
      </c>
      <c r="B14" s="29" t="n">
        <f aca="false">SUMPRODUCT((TEXT('📊 Sales Report'!$A$5:$A$957,"MMMM")=A14)*'📊 Sales Report'!$I$5:$I$957)</f>
        <v>0</v>
      </c>
      <c r="C14" s="29" t="n">
        <f aca="false">IFERROR(B14/(1+0.12),0)</f>
        <v>0</v>
      </c>
      <c r="D14" s="29" t="n">
        <f aca="false">B14-C14</f>
        <v>0</v>
      </c>
      <c r="E14" s="29" t="n">
        <f aca="false">SUMPRODUCT((TEXT('💸 Expenses'!$A$5:$A$24,"MMMM")=A14)*'💸 Expenses'!$F$5:$F$24)*0.12/1.12</f>
        <v>0</v>
      </c>
      <c r="F14" s="29" t="n">
        <f aca="false">D14-E14</f>
        <v>0</v>
      </c>
    </row>
    <row r="15" customFormat="false" ht="18" hidden="false" customHeight="true" outlineLevel="0" collapsed="false">
      <c r="A15" s="52" t="s">
        <v>63</v>
      </c>
      <c r="B15" s="54" t="n">
        <f aca="false">SUMPRODUCT((TEXT('📊 Sales Report'!$A$5:$A$957,"MMMM")=A15)*'📊 Sales Report'!$I$5:$I$957)</f>
        <v>0</v>
      </c>
      <c r="C15" s="54" t="n">
        <f aca="false">IFERROR(B15/(1+0.12),0)</f>
        <v>0</v>
      </c>
      <c r="D15" s="54" t="n">
        <f aca="false">B15-C15</f>
        <v>0</v>
      </c>
      <c r="E15" s="54" t="n">
        <f aca="false">SUMPRODUCT((TEXT('💸 Expenses'!$A$5:$A$24,"MMMM")=A15)*'💸 Expenses'!$F$5:$F$24)*0.12/1.12</f>
        <v>0</v>
      </c>
      <c r="F15" s="54" t="n">
        <f aca="false">D15-E15</f>
        <v>0</v>
      </c>
    </row>
    <row r="16" customFormat="false" ht="18" hidden="false" customHeight="true" outlineLevel="0" collapsed="false">
      <c r="A16" s="28" t="s">
        <v>64</v>
      </c>
      <c r="B16" s="29" t="n">
        <f aca="false">SUMPRODUCT((TEXT('📊 Sales Report'!$A$5:$A$957,"MMMM")=A16)*'📊 Sales Report'!$I$5:$I$957)</f>
        <v>0</v>
      </c>
      <c r="C16" s="29" t="n">
        <f aca="false">IFERROR(B16/(1+0.12),0)</f>
        <v>0</v>
      </c>
      <c r="D16" s="29" t="n">
        <f aca="false">B16-C16</f>
        <v>0</v>
      </c>
      <c r="E16" s="29" t="n">
        <f aca="false">SUMPRODUCT((TEXT('💸 Expenses'!$A$5:$A$24,"MMMM")=A16)*'💸 Expenses'!$F$5:$F$24)*0.12/1.12</f>
        <v>0</v>
      </c>
      <c r="F16" s="29" t="n">
        <f aca="false">D16-E16</f>
        <v>0</v>
      </c>
    </row>
    <row r="17" customFormat="false" ht="15" hidden="false" customHeight="false" outlineLevel="0" collapsed="false">
      <c r="A17" s="41" t="s">
        <v>1253</v>
      </c>
      <c r="B17" s="69" t="n">
        <f aca="false">SUM(B5:B16)</f>
        <v>12972.736</v>
      </c>
      <c r="C17" s="69" t="n">
        <f aca="false">SUM(C5:C16)</f>
        <v>11582.8</v>
      </c>
      <c r="D17" s="69" t="n">
        <f aca="false">SUM(D5:D16)</f>
        <v>1389.936</v>
      </c>
      <c r="E17" s="69" t="n">
        <f aca="false">SUM(E5:E16)</f>
        <v>12160.3928571429</v>
      </c>
      <c r="F17" s="69" t="n">
        <f aca="false">SUM(F5:F16)</f>
        <v>-10770.4568571429</v>
      </c>
    </row>
  </sheetData>
  <mergeCells count="1">
    <mergeCell ref="A1:F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0"/>
  </cols>
  <sheetData>
    <row r="1" customFormat="false" ht="19.5" hidden="false" customHeight="true" outlineLevel="0" collapsed="false">
      <c r="A1" s="40" t="s">
        <v>1254</v>
      </c>
      <c r="B1" s="40"/>
      <c r="C1" s="40"/>
      <c r="D1" s="40"/>
      <c r="E1" s="40"/>
      <c r="F1" s="40"/>
    </row>
    <row r="2" customFormat="false" ht="19.5" hidden="false" customHeight="true" outlineLevel="0" collapsed="false">
      <c r="A2" s="40"/>
      <c r="B2" s="40"/>
      <c r="C2" s="40"/>
      <c r="D2" s="40"/>
      <c r="E2" s="40"/>
      <c r="F2" s="40"/>
    </row>
    <row r="4" customFormat="false" ht="18" hidden="false" customHeight="true" outlineLevel="0" collapsed="false">
      <c r="A4" s="72" t="s">
        <v>1255</v>
      </c>
      <c r="B4" s="72"/>
      <c r="C4" s="72"/>
      <c r="D4" s="72"/>
      <c r="E4" s="72"/>
      <c r="F4" s="72"/>
    </row>
    <row r="5" customFormat="false" ht="18" hidden="false" customHeight="true" outlineLevel="0" collapsed="false">
      <c r="B5" s="73" t="s">
        <v>1256</v>
      </c>
      <c r="C5" s="74" t="s">
        <v>1257</v>
      </c>
      <c r="D5" s="75" t="s">
        <v>1258</v>
      </c>
    </row>
    <row r="6" customFormat="false" ht="18" hidden="false" customHeight="true" outlineLevel="0" collapsed="false">
      <c r="B6" s="73" t="s">
        <v>1259</v>
      </c>
      <c r="C6" s="74" t="s">
        <v>1260</v>
      </c>
      <c r="D6" s="75" t="s">
        <v>1258</v>
      </c>
    </row>
    <row r="7" customFormat="false" ht="18" hidden="false" customHeight="true" outlineLevel="0" collapsed="false">
      <c r="B7" s="73" t="s">
        <v>1261</v>
      </c>
      <c r="C7" s="74" t="s">
        <v>1262</v>
      </c>
      <c r="D7" s="75" t="s">
        <v>1258</v>
      </c>
    </row>
    <row r="8" customFormat="false" ht="18" hidden="false" customHeight="true" outlineLevel="0" collapsed="false">
      <c r="B8" s="73" t="s">
        <v>1263</v>
      </c>
      <c r="C8" s="74" t="s">
        <v>1264</v>
      </c>
      <c r="D8" s="75" t="s">
        <v>1258</v>
      </c>
    </row>
    <row r="9" customFormat="false" ht="18" hidden="false" customHeight="true" outlineLevel="0" collapsed="false">
      <c r="B9" s="73" t="s">
        <v>1265</v>
      </c>
      <c r="C9" s="74" t="s">
        <v>1266</v>
      </c>
      <c r="D9" s="75" t="s">
        <v>1258</v>
      </c>
    </row>
    <row r="10" customFormat="false" ht="18" hidden="false" customHeight="true" outlineLevel="0" collapsed="false">
      <c r="B10" s="73" t="s">
        <v>1267</v>
      </c>
      <c r="C10" s="74" t="s">
        <v>1268</v>
      </c>
      <c r="D10" s="75" t="s">
        <v>1258</v>
      </c>
    </row>
    <row r="11" customFormat="false" ht="18" hidden="false" customHeight="true" outlineLevel="0" collapsed="false">
      <c r="A11" s="72" t="s">
        <v>1269</v>
      </c>
      <c r="B11" s="72"/>
      <c r="C11" s="72"/>
      <c r="D11" s="72"/>
      <c r="E11" s="72"/>
      <c r="F11" s="72"/>
    </row>
    <row r="12" customFormat="false" ht="18" hidden="false" customHeight="true" outlineLevel="0" collapsed="false">
      <c r="B12" s="73" t="s">
        <v>1270</v>
      </c>
      <c r="C12" s="74" t="n">
        <v>12</v>
      </c>
      <c r="D12" s="75" t="s">
        <v>1258</v>
      </c>
    </row>
    <row r="13" customFormat="false" ht="18" hidden="false" customHeight="true" outlineLevel="0" collapsed="false">
      <c r="B13" s="73" t="s">
        <v>1271</v>
      </c>
      <c r="C13" s="74" t="n">
        <v>1.25</v>
      </c>
      <c r="D13" s="75" t="s">
        <v>1258</v>
      </c>
    </row>
    <row r="14" customFormat="false" ht="18" hidden="false" customHeight="true" outlineLevel="0" collapsed="false">
      <c r="B14" s="73" t="s">
        <v>1272</v>
      </c>
      <c r="C14" s="74" t="n">
        <v>10</v>
      </c>
      <c r="D14" s="75" t="s">
        <v>1258</v>
      </c>
    </row>
    <row r="15" customFormat="false" ht="18" hidden="false" customHeight="true" outlineLevel="0" collapsed="false">
      <c r="B15" s="73" t="s">
        <v>1273</v>
      </c>
      <c r="C15" s="74" t="n">
        <v>500</v>
      </c>
      <c r="D15" s="75" t="s">
        <v>1258</v>
      </c>
    </row>
    <row r="16" customFormat="false" ht="18" hidden="false" customHeight="true" outlineLevel="0" collapsed="false">
      <c r="B16" s="73" t="s">
        <v>1274</v>
      </c>
      <c r="C16" s="74" t="n">
        <v>250</v>
      </c>
      <c r="D16" s="75" t="s">
        <v>1258</v>
      </c>
    </row>
    <row r="17" customFormat="false" ht="18" hidden="false" customHeight="true" outlineLevel="0" collapsed="false">
      <c r="B17" s="73" t="s">
        <v>1275</v>
      </c>
      <c r="C17" s="74" t="n">
        <v>100</v>
      </c>
      <c r="D17" s="75" t="s">
        <v>1258</v>
      </c>
    </row>
    <row r="18" customFormat="false" ht="18" hidden="false" customHeight="true" outlineLevel="0" collapsed="false">
      <c r="A18" s="72" t="s">
        <v>1276</v>
      </c>
      <c r="B18" s="72"/>
      <c r="C18" s="72"/>
      <c r="D18" s="72"/>
      <c r="E18" s="72"/>
      <c r="F18" s="72"/>
    </row>
    <row r="19" customFormat="false" ht="18" hidden="false" customHeight="true" outlineLevel="0" collapsed="false">
      <c r="B19" s="73" t="s">
        <v>1277</v>
      </c>
      <c r="C19" s="76" t="n">
        <v>45658</v>
      </c>
      <c r="D19" s="75" t="s">
        <v>1258</v>
      </c>
    </row>
    <row r="20" customFormat="false" ht="18" hidden="false" customHeight="true" outlineLevel="0" collapsed="false">
      <c r="B20" s="73" t="s">
        <v>1278</v>
      </c>
      <c r="C20" s="76" t="n">
        <v>46022</v>
      </c>
      <c r="D20" s="75" t="s">
        <v>1258</v>
      </c>
    </row>
    <row r="21" customFormat="false" ht="18" hidden="false" customHeight="true" outlineLevel="0" collapsed="false">
      <c r="B21" s="73" t="s">
        <v>1279</v>
      </c>
      <c r="C21" s="74" t="n">
        <v>2025</v>
      </c>
      <c r="D21" s="75" t="s">
        <v>1258</v>
      </c>
    </row>
    <row r="22" customFormat="false" ht="18" hidden="false" customHeight="true" outlineLevel="0" collapsed="false">
      <c r="B22" s="73" t="s">
        <v>1280</v>
      </c>
      <c r="C22" s="74" t="n">
        <v>10</v>
      </c>
      <c r="D22" s="75" t="s">
        <v>1258</v>
      </c>
    </row>
    <row r="23" customFormat="false" ht="18" hidden="false" customHeight="true" outlineLevel="0" collapsed="false">
      <c r="B23" s="73" t="s">
        <v>1281</v>
      </c>
      <c r="C23" s="74" t="n">
        <v>30</v>
      </c>
      <c r="D23" s="75" t="s">
        <v>1258</v>
      </c>
    </row>
  </sheetData>
  <mergeCells count="4">
    <mergeCell ref="A1:F2"/>
    <mergeCell ref="A4:F4"/>
    <mergeCell ref="A11:F11"/>
    <mergeCell ref="A18:F18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2026-05-19T18:43:30Z</dcterms:created>
  <dc:creator>openpyxl</dc:creator>
  <dc:description/>
  <dc:language>en-US</dc:language>
  <cp:lastModifiedBy/>
  <dcterms:modified xsi:type="dcterms:W3CDTF">2026-05-19T18:43:41Z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